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2.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dministrator\Desktop\DD\"/>
    </mc:Choice>
  </mc:AlternateContent>
  <xr:revisionPtr revIDLastSave="0" documentId="8_{E3EEEA01-80F6-4A56-9122-688000400FDA}" xr6:coauthVersionLast="47" xr6:coauthVersionMax="47" xr10:uidLastSave="{00000000-0000-0000-0000-000000000000}"/>
  <bookViews>
    <workbookView xWindow="-110" yWindow="-110" windowWidth="19420" windowHeight="12220" xr2:uid="{394469FF-CAA2-4F79-985B-B95E75C6BEF3}"/>
  </bookViews>
  <sheets>
    <sheet name="a" sheetId="2" r:id="rId1"/>
    <sheet name="b" sheetId="3" r:id="rId2"/>
    <sheet name="c" sheetId="1" r:id="rId3"/>
  </sheets>
  <externalReferences>
    <externalReference r:id="rId4"/>
    <externalReference r:id="rId5"/>
  </externalReferences>
  <definedNames>
    <definedName name="AllottedFunds">'[2]Project Details'!#REF!</definedName>
    <definedName name="Col_Margins">'[2]Family Tree'!$C:$C,'[2]Family Tree'!$E:$E,'[2]Family Tree'!$J:$J,'[2]Family Tree'!$L:$L,'[2]Family Tree'!$Q:$Q,'[2]Family Tree'!$S:$S,'[2]Family Tree'!$X:$X,'[2]Family Tree'!$Z:$Z,'[2]Family Tree'!$N:$N,'[2]Family Tree'!$G:$G,'[2]Family Tree'!$U:$U,'[2]Family Tree'!$AB:$AB</definedName>
    <definedName name="ColumnTitle1">#REF!</definedName>
    <definedName name="ColumnTitle2">#REF!</definedName>
    <definedName name="ColumnTitleRegion1..E6.1">#REF!</definedName>
    <definedName name="Display_Week">#REF!</definedName>
    <definedName name="FirstDayofTheMonth">#REF!</definedName>
    <definedName name="FundsRemaining">INDEX(#REF!,ROWS(#REF!),1)</definedName>
    <definedName name="FundsRemainingLabel">'[2]Project Details'!#REF!</definedName>
    <definedName name="FundsUsed">'[2]Project Details'!#REF!</definedName>
    <definedName name="FundsUsedLabel">'[2]Project Details'!#REF!</definedName>
    <definedName name="_xlnm.Print_Area" localSheetId="0">a!$A$1:$I$43</definedName>
    <definedName name="_xlnm.Print_Area" localSheetId="1">b!$A$1:$Q$51</definedName>
    <definedName name="Project_last_entry">#REF!</definedName>
    <definedName name="Project_Start">#REF!</definedName>
    <definedName name="Project_start_row">#REF!</definedName>
    <definedName name="RowTitleRegion1..C11">'[2]Project Details'!$B$4</definedName>
    <definedName name="SortCodes" localSheetId="0">#REF!</definedName>
    <definedName name="SortCodes">#REF!</definedName>
    <definedName name="Staff2">#REF!</definedName>
    <definedName name="TeamName">#REF!</definedName>
    <definedName name="Title1">'[2]Project Details'!#REF!</definedName>
    <definedName name="ValidBanks" localSheetId="0">#REF!</definedName>
    <definedName name="ValidBanks">#REF!</definedName>
    <definedName name="Workweek">#REF!</definedName>
    <definedName name="WorkweekHou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8" i="3" l="1"/>
  <c r="M48" i="3"/>
  <c r="K48" i="3"/>
  <c r="O26" i="3"/>
  <c r="K24" i="3"/>
  <c r="J24" i="3"/>
  <c r="B24" i="3"/>
  <c r="K23" i="3"/>
  <c r="J23" i="3"/>
  <c r="B23" i="3"/>
  <c r="K22" i="3"/>
  <c r="J22" i="3"/>
  <c r="H33" i="2" s="1"/>
  <c r="B22" i="3"/>
  <c r="K21" i="3"/>
  <c r="J21" i="3"/>
  <c r="B21" i="3"/>
  <c r="K20" i="3"/>
  <c r="J20" i="3"/>
  <c r="B20" i="3"/>
  <c r="C31" i="2" s="1"/>
  <c r="K19" i="3"/>
  <c r="J19" i="3"/>
  <c r="H30" i="2" s="1"/>
  <c r="B19" i="3"/>
  <c r="C30" i="2" s="1"/>
  <c r="K18" i="3"/>
  <c r="J18" i="3"/>
  <c r="J26" i="3" s="1"/>
  <c r="B18" i="3"/>
  <c r="C29" i="2" s="1"/>
  <c r="K17" i="3"/>
  <c r="K26" i="3" s="1"/>
  <c r="J17" i="3"/>
  <c r="B17" i="3"/>
  <c r="K16" i="3"/>
  <c r="J16" i="3"/>
  <c r="B16" i="3"/>
  <c r="C27" i="2" s="1"/>
  <c r="B15" i="3"/>
  <c r="Q1" i="3"/>
  <c r="B43" i="2"/>
  <c r="B42" i="2"/>
  <c r="H36" i="2"/>
  <c r="H35" i="2"/>
  <c r="C35" i="2"/>
  <c r="H34" i="2"/>
  <c r="C34" i="2"/>
  <c r="C33" i="2"/>
  <c r="H32" i="2"/>
  <c r="C32" i="2"/>
  <c r="H31" i="2"/>
  <c r="H28" i="2"/>
  <c r="C28" i="2"/>
  <c r="H27" i="2"/>
  <c r="H13" i="2"/>
  <c r="E11" i="2"/>
  <c r="C9" i="2"/>
  <c r="E7" i="2"/>
  <c r="B24" i="1"/>
  <c r="B23" i="1"/>
  <c r="B22" i="1"/>
  <c r="B20" i="1"/>
  <c r="B18" i="1"/>
  <c r="Q14" i="1"/>
  <c r="L14" i="1"/>
  <c r="G14" i="1"/>
  <c r="Q13" i="1"/>
  <c r="L13" i="1"/>
  <c r="G13" i="1"/>
  <c r="Q12" i="1"/>
  <c r="L12" i="1"/>
  <c r="G12" i="1"/>
  <c r="Q11" i="1"/>
  <c r="L11" i="1"/>
  <c r="G11" i="1"/>
  <c r="Q10" i="1"/>
  <c r="L10" i="1"/>
  <c r="G10" i="1"/>
  <c r="H29" i="2" l="1"/>
  <c r="H37" i="2" s="1"/>
  <c r="Q24" i="1" l="1"/>
  <c r="L24" i="1" l="1"/>
  <c r="G24" i="1" l="1"/>
</calcChain>
</file>

<file path=xl/sharedStrings.xml><?xml version="1.0" encoding="utf-8"?>
<sst xmlns="http://schemas.openxmlformats.org/spreadsheetml/2006/main" count="205" uniqueCount="136">
  <si>
    <t>ANNEX 4 :  ITEMIZED COST ESTIMATE/B U D G E T FOR GAVI HSS ACTIVITIES (APRIL TO JUNE 2024)</t>
  </si>
  <si>
    <t>NAME OF IMPLEMENTING PARTNER: Katsina State Primary Health Agency.</t>
  </si>
  <si>
    <t>NAME OF PROJECT:  Katsina State Proposal for Quarter 1 Activities</t>
  </si>
  <si>
    <t>Responsible Prog. Officer:</t>
  </si>
  <si>
    <t>Shaima'u Kabir</t>
  </si>
  <si>
    <t>KATSINA STATE PHC HSS MOU</t>
  </si>
  <si>
    <t>Operational Logistic inputs (Waste Management )</t>
  </si>
  <si>
    <t>BUDGET</t>
  </si>
  <si>
    <t>ACTUAL</t>
  </si>
  <si>
    <t>VARIANCE</t>
  </si>
  <si>
    <t>.A.</t>
  </si>
  <si>
    <t>Leadership, Management and Coordination</t>
  </si>
  <si>
    <t xml:space="preserve">Quantity </t>
  </si>
  <si>
    <t>No of Days</t>
  </si>
  <si>
    <t>Frequency</t>
  </si>
  <si>
    <t>Rate</t>
  </si>
  <si>
    <t>Total</t>
  </si>
  <si>
    <t>Quarterly STF Review Meeting</t>
  </si>
  <si>
    <t>i</t>
  </si>
  <si>
    <t>Hall hire</t>
  </si>
  <si>
    <t>ii</t>
  </si>
  <si>
    <t>2 tea breaks</t>
  </si>
  <si>
    <t>iii</t>
  </si>
  <si>
    <t>Lunch</t>
  </si>
  <si>
    <t>iv</t>
  </si>
  <si>
    <t>Stationeries</t>
  </si>
  <si>
    <t>v</t>
  </si>
  <si>
    <t>Transport</t>
  </si>
  <si>
    <t>.B.</t>
  </si>
  <si>
    <t>.C.</t>
  </si>
  <si>
    <t>.D.</t>
  </si>
  <si>
    <t>.E.</t>
  </si>
  <si>
    <t>.F.</t>
  </si>
  <si>
    <t>.G.</t>
  </si>
  <si>
    <t>H</t>
  </si>
  <si>
    <t>I</t>
  </si>
  <si>
    <t>J</t>
  </si>
  <si>
    <t>Total Amount Payable(N)</t>
  </si>
  <si>
    <t>Implementing Partner's Designated Official:</t>
  </si>
  <si>
    <t>Title/Name  And Signature</t>
  </si>
  <si>
    <t>Official Seal Or Stamp</t>
  </si>
  <si>
    <t>Date</t>
  </si>
  <si>
    <t>For UNICEF Use Only:</t>
  </si>
  <si>
    <t>Certifying Officer:</t>
  </si>
  <si>
    <t>Approving Officer:</t>
  </si>
  <si>
    <t>Title:</t>
  </si>
  <si>
    <t>Name and Signature</t>
  </si>
  <si>
    <t>Date:</t>
  </si>
  <si>
    <t>Email:</t>
  </si>
  <si>
    <t>PHCDA/PHC/IMM/VOL1/150</t>
  </si>
  <si>
    <t>Chief of Field Office,</t>
  </si>
  <si>
    <t>UNICEF Kano office,</t>
  </si>
  <si>
    <t>Kano.</t>
  </si>
  <si>
    <t xml:space="preserve">SUBMISSION OF RETIREMENT DOCUMENT, ANNEX 4 AND FACE FORM FOR THE </t>
  </si>
  <si>
    <t xml:space="preserve">I write to notify you of the submission of retirement documents for the following </t>
  </si>
  <si>
    <t>activities. Attached are relevant documents for your necessary action</t>
  </si>
  <si>
    <t>SN</t>
  </si>
  <si>
    <t>ACTIVITY</t>
  </si>
  <si>
    <t>AMOUNT</t>
  </si>
  <si>
    <t>GRANT TOTAL</t>
  </si>
  <si>
    <t>Best Regards</t>
  </si>
  <si>
    <t>Funding Authorization and Certificate of Expenditure</t>
  </si>
  <si>
    <t>UN Agency:</t>
  </si>
  <si>
    <t>UNICEF</t>
  </si>
  <si>
    <t>Country:</t>
  </si>
  <si>
    <t>NIGERIA</t>
  </si>
  <si>
    <t>Type of Request:</t>
  </si>
  <si>
    <t>Programme Code &amp; Title:  03 Programme Effectiveness</t>
  </si>
  <si>
    <t>Outcome 1:Maternal Newborn and Child Health</t>
  </si>
  <si>
    <t>X□  Direct Cash Transfer (DCT)</t>
  </si>
  <si>
    <t>Project Code &amp; Title:</t>
  </si>
  <si>
    <t>Outcome 1.1 : HSS</t>
  </si>
  <si>
    <t>□  Reimbursement</t>
  </si>
  <si>
    <t>Responsible Officer(s):</t>
  </si>
  <si>
    <t>Dr Shamsuddeen Yahaya</t>
  </si>
  <si>
    <t>□  Direct payment</t>
  </si>
  <si>
    <t>Implementing Partner:</t>
  </si>
  <si>
    <t>Katsina State Primary Health Care Agency</t>
  </si>
  <si>
    <t>Currency: ___Naira (N)____</t>
  </si>
  <si>
    <t>REPORTING</t>
  </si>
  <si>
    <t>REQUESTS /  AUTHORIZATIONS</t>
  </si>
  <si>
    <t>Activity Description from AWP with Duration</t>
  </si>
  <si>
    <t>Coding for UNDP, UNFPA and WFP</t>
  </si>
  <si>
    <t>Authorised Amount</t>
  </si>
  <si>
    <t>Actual Project Expenditure</t>
  </si>
  <si>
    <t>Expenditures accepted by Agency</t>
  </si>
  <si>
    <t>Balance</t>
  </si>
  <si>
    <t>New Request Period &amp; Amount</t>
  </si>
  <si>
    <t>Outstanding Authorised Amount</t>
  </si>
  <si>
    <t>A</t>
  </si>
  <si>
    <t>B</t>
  </si>
  <si>
    <t>C</t>
  </si>
  <si>
    <t>D = A - C</t>
  </si>
  <si>
    <t>E</t>
  </si>
  <si>
    <t>F</t>
  </si>
  <si>
    <t>G = D + F</t>
  </si>
  <si>
    <t/>
  </si>
  <si>
    <t>CERTIFICATION</t>
  </si>
  <si>
    <t>The undersigned authorized officer of the above-mentioned implementing institution hereby certifies that:</t>
  </si>
  <si>
    <t xml:space="preserve"> □</t>
  </si>
  <si>
    <t>The funding request shown above represents estimated expenditures as per AWP and itemized cost estimates attached.</t>
  </si>
  <si>
    <t>□X</t>
  </si>
  <si>
    <t>The actual expenditures for the period stated herein has been disbursed in accordance with the AWP and request with itemized cost estimates. The detailed accounting documents for these expenditures can be made available for examination, when required, for the period of five years from the date of the provision of funds.</t>
  </si>
  <si>
    <t>Date Submitted:</t>
  </si>
  <si>
    <t>Name/Sign:</t>
  </si>
  <si>
    <t>Title/Official Stamp:</t>
  </si>
  <si>
    <t xml:space="preserve"> </t>
  </si>
  <si>
    <t>NOTES:</t>
  </si>
  <si>
    <t>*Shaded areas to be completed by the UN Agency and non-shaded areas to be completed by the counterpart.</t>
  </si>
  <si>
    <t>FOR AGENCY USE ONLY:</t>
  </si>
  <si>
    <t>FOR ALL AGENCIES</t>
  </si>
  <si>
    <t>FOR UNICEF USE ONLY</t>
  </si>
  <si>
    <t>FOR UNFPA USE ONLY</t>
  </si>
  <si>
    <t>Account Charges</t>
  </si>
  <si>
    <t>Liquidation Information</t>
  </si>
  <si>
    <t>New Funding Release</t>
  </si>
  <si>
    <t xml:space="preserve">  Name/Sign:</t>
  </si>
  <si>
    <t>________________________________________________</t>
  </si>
  <si>
    <t>Cash Transfer Reference:</t>
  </si>
  <si>
    <t xml:space="preserve">DCT Reference: </t>
  </si>
  <si>
    <t xml:space="preserve">  Title:</t>
  </si>
  <si>
    <r>
      <t xml:space="preserve"> </t>
    </r>
    <r>
      <rPr>
        <i/>
        <u/>
        <sz val="20"/>
        <rFont val="Arial Narrow"/>
        <family val="2"/>
      </rPr>
      <t>CRQ ref. no.,  Voucher ref. no.</t>
    </r>
  </si>
  <si>
    <r>
      <t xml:space="preserve"> </t>
    </r>
    <r>
      <rPr>
        <i/>
        <u/>
        <sz val="20"/>
        <rFont val="Arial Narrow"/>
        <family val="2"/>
      </rPr>
      <t>CRQ ref. no., Liquidation ref. no.</t>
    </r>
  </si>
  <si>
    <t xml:space="preserve">  Activity 1</t>
  </si>
  <si>
    <t xml:space="preserve">  Date:</t>
  </si>
  <si>
    <t>APPROVAL</t>
  </si>
  <si>
    <t>GL codes:</t>
  </si>
  <si>
    <t>DCT Amount</t>
  </si>
  <si>
    <t xml:space="preserve">  Activity 2</t>
  </si>
  <si>
    <t xml:space="preserve">  Training</t>
  </si>
  <si>
    <t>Less:</t>
  </si>
  <si>
    <t xml:space="preserve">  Travel</t>
  </si>
  <si>
    <t xml:space="preserve">   Liquidation</t>
  </si>
  <si>
    <t xml:space="preserve">  Meetings &amp; Conferences</t>
  </si>
  <si>
    <t xml:space="preserve">     Amount</t>
  </si>
  <si>
    <t xml:space="preserve">  Other Cash Transfers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</si>
</sst>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d\ mmmm\ yyyy;@" x16r2:formatCode16="[$-en-NG,1]d\ mmmm\ yyyy;@"/>
  </numFmts>
  <fonts count="43">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Corbel"/>
      <family val="2"/>
    </font>
    <font>
      <b/>
      <sz val="18"/>
      <color theme="1"/>
      <name val="Aptos Narrow"/>
      <family val="2"/>
      <scheme val="minor"/>
    </font>
    <font>
      <b/>
      <sz val="16"/>
      <color theme="1"/>
      <name val="Aptos Narrow"/>
      <family val="2"/>
      <scheme val="minor"/>
    </font>
    <font>
      <b/>
      <sz val="14"/>
      <color theme="1"/>
      <name val="Aptos Narrow"/>
      <family val="2"/>
      <scheme val="minor"/>
    </font>
    <font>
      <sz val="14"/>
      <color theme="1"/>
      <name val="Aptos Narrow"/>
      <family val="2"/>
      <scheme val="minor"/>
    </font>
    <font>
      <sz val="10"/>
      <color theme="1"/>
      <name val="Arial"/>
      <family val="2"/>
    </font>
    <font>
      <b/>
      <sz val="10"/>
      <color theme="1"/>
      <name val="Aptos Narrow"/>
      <family val="2"/>
      <scheme val="minor"/>
    </font>
    <font>
      <sz val="8"/>
      <color theme="1"/>
      <name val="Aptos Narrow"/>
      <family val="2"/>
      <scheme val="minor"/>
    </font>
    <font>
      <sz val="8"/>
      <color theme="1"/>
      <name val="Arial"/>
      <family val="2"/>
    </font>
    <font>
      <b/>
      <sz val="8"/>
      <color theme="1"/>
      <name val="Aptos Narrow"/>
      <family val="2"/>
      <scheme val="minor"/>
    </font>
    <font>
      <b/>
      <sz val="8"/>
      <color theme="1"/>
      <name val="Candara"/>
      <family val="2"/>
    </font>
    <font>
      <sz val="8"/>
      <color theme="1"/>
      <name val="Aptos Display"/>
      <family val="1"/>
      <scheme val="major"/>
    </font>
    <font>
      <sz val="8"/>
      <color rgb="FF000000"/>
      <name val="Calibri"/>
      <family val="2"/>
    </font>
    <font>
      <b/>
      <sz val="8"/>
      <color theme="1"/>
      <name val="Aptos Display"/>
      <family val="2"/>
      <scheme val="major"/>
    </font>
    <font>
      <b/>
      <sz val="8"/>
      <color theme="1"/>
      <name val="Aptos Display"/>
      <family val="1"/>
      <scheme val="major"/>
    </font>
    <font>
      <b/>
      <sz val="22"/>
      <color theme="1"/>
      <name val="Aharoni"/>
      <charset val="177"/>
    </font>
    <font>
      <b/>
      <u/>
      <sz val="12"/>
      <color theme="1"/>
      <name val="Aptos Narrow"/>
      <family val="2"/>
      <scheme val="minor"/>
    </font>
    <font>
      <sz val="13"/>
      <color theme="1"/>
      <name val="Aptos Narrow"/>
      <family val="2"/>
      <scheme val="minor"/>
    </font>
    <font>
      <b/>
      <sz val="12"/>
      <color theme="1"/>
      <name val="Aptos Narrow"/>
      <family val="2"/>
      <scheme val="minor"/>
    </font>
    <font>
      <b/>
      <sz val="10"/>
      <color theme="1"/>
      <name val="Arial"/>
      <family val="2"/>
    </font>
    <font>
      <sz val="12"/>
      <color theme="1"/>
      <name val="Arial"/>
      <family val="2"/>
    </font>
    <font>
      <b/>
      <sz val="14"/>
      <color theme="1"/>
      <name val="Arial"/>
      <family val="2"/>
    </font>
    <font>
      <sz val="18"/>
      <color theme="0" tint="-0.249977111117893"/>
      <name val="Aptos Narrow"/>
      <family val="2"/>
      <scheme val="minor"/>
    </font>
    <font>
      <sz val="12"/>
      <name val="Osaka"/>
      <family val="3"/>
      <charset val="128"/>
    </font>
    <font>
      <b/>
      <sz val="26"/>
      <name val="Arial Narrow"/>
      <family val="2"/>
    </font>
    <font>
      <b/>
      <sz val="20"/>
      <name val="Arial Narrow"/>
      <family val="2"/>
    </font>
    <font>
      <sz val="10"/>
      <name val="Arial"/>
      <family val="2"/>
    </font>
    <font>
      <sz val="20"/>
      <name val="Arial Narrow"/>
      <family val="2"/>
    </font>
    <font>
      <b/>
      <sz val="24"/>
      <name val="Arial Narrow"/>
      <family val="2"/>
    </font>
    <font>
      <b/>
      <u/>
      <sz val="24"/>
      <name val="Arial Narrow"/>
      <family val="2"/>
    </font>
    <font>
      <b/>
      <u/>
      <sz val="20"/>
      <name val="Arial Narrow"/>
      <family val="2"/>
    </font>
    <font>
      <sz val="20"/>
      <color theme="1"/>
      <name val="Aptos Narrow"/>
      <family val="2"/>
      <scheme val="minor"/>
    </font>
    <font>
      <sz val="22"/>
      <name val="Arial Narrow"/>
      <family val="2"/>
    </font>
    <font>
      <u/>
      <sz val="22"/>
      <name val="Arial Narrow"/>
      <family val="2"/>
    </font>
    <font>
      <u/>
      <sz val="20"/>
      <name val="Arial Narrow"/>
      <family val="2"/>
    </font>
    <font>
      <b/>
      <sz val="22"/>
      <name val="Arial Narrow"/>
      <family val="2"/>
    </font>
    <font>
      <sz val="12"/>
      <name val="ＭＳ Ｐゴシック"/>
      <family val="3"/>
      <charset val="128"/>
    </font>
    <font>
      <sz val="22"/>
      <color theme="1"/>
      <name val="Aptos Narrow"/>
      <family val="2"/>
      <scheme val="minor"/>
    </font>
    <font>
      <sz val="24"/>
      <name val="Arial Narrow"/>
      <family val="2"/>
    </font>
    <font>
      <i/>
      <u/>
      <sz val="20"/>
      <name val="Arial Narrow"/>
      <family val="2"/>
    </font>
  </fonts>
  <fills count="11">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indexed="13"/>
        <bgColor indexed="64"/>
      </patternFill>
    </fill>
  </fills>
  <borders count="69">
    <border>
      <left/>
      <right/>
      <top/>
      <bottom/>
      <diagonal/>
    </border>
    <border>
      <left style="medium">
        <color indexed="64"/>
      </left>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double">
        <color indexed="64"/>
      </bottom>
      <diagonal/>
    </border>
  </borders>
  <cellStyleXfs count="7">
    <xf numFmtId="0" fontId="0" fillId="0" borderId="0"/>
    <xf numFmtId="43" fontId="1" fillId="0" borderId="0" applyFont="0" applyFill="0" applyBorder="0" applyAlignment="0" applyProtection="0"/>
    <xf numFmtId="0" fontId="1" fillId="0" borderId="0"/>
    <xf numFmtId="0" fontId="26" fillId="0" borderId="0"/>
    <xf numFmtId="0" fontId="29" fillId="0" borderId="0"/>
    <xf numFmtId="40" fontId="39" fillId="0" borderId="0" applyFont="0" applyFill="0" applyBorder="0" applyAlignment="0" applyProtection="0"/>
    <xf numFmtId="43" fontId="29" fillId="0" borderId="0" applyFont="0" applyFill="0" applyBorder="0" applyAlignment="0" applyProtection="0"/>
  </cellStyleXfs>
  <cellXfs count="352">
    <xf numFmtId="0" fontId="0" fillId="0" borderId="0" xfId="0"/>
    <xf numFmtId="0" fontId="0" fillId="0" borderId="0" xfId="0" applyProtection="1">
      <protection locked="0"/>
    </xf>
    <xf numFmtId="0" fontId="0" fillId="0" borderId="15" xfId="0" applyBorder="1" applyProtection="1">
      <protection locked="0"/>
    </xf>
    <xf numFmtId="0" fontId="0" fillId="0" borderId="14" xfId="0" applyBorder="1" applyProtection="1">
      <protection locked="0"/>
    </xf>
    <xf numFmtId="0" fontId="0" fillId="0" borderId="16" xfId="0" applyBorder="1" applyProtection="1">
      <protection locked="0"/>
    </xf>
    <xf numFmtId="0" fontId="10" fillId="0" borderId="0" xfId="0" applyFont="1" applyProtection="1">
      <protection locked="0"/>
    </xf>
    <xf numFmtId="0" fontId="11" fillId="0" borderId="0" xfId="0" applyFont="1" applyAlignment="1" applyProtection="1">
      <alignment horizontal="center" vertical="center"/>
      <protection locked="0"/>
    </xf>
    <xf numFmtId="0" fontId="12" fillId="2" borderId="1" xfId="0" quotePrefix="1" applyFont="1" applyFill="1" applyBorder="1" applyAlignment="1" applyProtection="1">
      <alignment vertical="center"/>
      <protection locked="0"/>
    </xf>
    <xf numFmtId="0" fontId="10" fillId="0" borderId="2" xfId="0" applyFont="1" applyBorder="1" applyProtection="1">
      <protection locked="0"/>
    </xf>
    <xf numFmtId="0" fontId="12" fillId="2" borderId="3" xfId="0" quotePrefix="1" applyFont="1" applyFill="1" applyBorder="1" applyAlignment="1" applyProtection="1">
      <alignment horizontal="left" vertical="center"/>
      <protection locked="0"/>
    </xf>
    <xf numFmtId="0" fontId="12" fillId="2" borderId="4" xfId="0" quotePrefix="1" applyFont="1" applyFill="1" applyBorder="1" applyAlignment="1" applyProtection="1">
      <alignment horizontal="left" vertical="center"/>
      <protection locked="0"/>
    </xf>
    <xf numFmtId="0" fontId="12" fillId="2" borderId="5" xfId="0" quotePrefix="1" applyFont="1" applyFill="1" applyBorder="1" applyAlignment="1" applyProtection="1">
      <alignment horizontal="left" vertical="center"/>
      <protection locked="0"/>
    </xf>
    <xf numFmtId="0" fontId="12" fillId="2" borderId="6" xfId="0" quotePrefix="1" applyFont="1" applyFill="1" applyBorder="1" applyAlignment="1" applyProtection="1">
      <alignment vertical="center"/>
      <protection locked="0"/>
    </xf>
    <xf numFmtId="0" fontId="12" fillId="2" borderId="7" xfId="0" quotePrefix="1" applyFont="1" applyFill="1" applyBorder="1" applyAlignment="1" applyProtection="1">
      <alignment vertical="center" wrapText="1"/>
      <protection locked="0"/>
    </xf>
    <xf numFmtId="0" fontId="12" fillId="2" borderId="8" xfId="0" applyFont="1" applyFill="1" applyBorder="1" applyAlignment="1" applyProtection="1">
      <alignment horizontal="left" vertical="center" wrapText="1"/>
      <protection locked="0"/>
    </xf>
    <xf numFmtId="0" fontId="12" fillId="2" borderId="2" xfId="0" applyFont="1" applyFill="1" applyBorder="1" applyAlignment="1" applyProtection="1">
      <alignment horizontal="left" vertical="center" wrapText="1"/>
      <protection locked="0"/>
    </xf>
    <xf numFmtId="0" fontId="12" fillId="2" borderId="9" xfId="0" applyFont="1" applyFill="1" applyBorder="1" applyAlignment="1" applyProtection="1">
      <alignment horizontal="left" vertical="center" wrapText="1"/>
      <protection locked="0"/>
    </xf>
    <xf numFmtId="0" fontId="12" fillId="2" borderId="10" xfId="0" quotePrefix="1" applyFont="1" applyFill="1" applyBorder="1" applyAlignment="1" applyProtection="1">
      <alignment horizontal="center" vertical="center" wrapText="1"/>
      <protection locked="0"/>
    </xf>
    <xf numFmtId="0" fontId="12" fillId="2" borderId="11" xfId="0" quotePrefix="1" applyFont="1" applyFill="1" applyBorder="1" applyAlignment="1" applyProtection="1">
      <alignment horizontal="center" vertical="center" wrapText="1"/>
      <protection locked="0"/>
    </xf>
    <xf numFmtId="0" fontId="12" fillId="2" borderId="12" xfId="0" quotePrefix="1" applyFont="1" applyFill="1" applyBorder="1" applyAlignment="1" applyProtection="1">
      <alignment horizontal="center" vertical="center" wrapText="1"/>
      <protection locked="0"/>
    </xf>
    <xf numFmtId="0" fontId="12" fillId="2" borderId="13" xfId="0" applyFont="1" applyFill="1" applyBorder="1" applyAlignment="1" applyProtection="1">
      <alignment vertical="center" wrapText="1"/>
      <protection locked="0"/>
    </xf>
    <xf numFmtId="0" fontId="12" fillId="2" borderId="14" xfId="0" applyFont="1" applyFill="1" applyBorder="1" applyAlignment="1" applyProtection="1">
      <alignment horizontal="left" vertical="center" wrapText="1"/>
      <protection locked="0"/>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0" fillId="0" borderId="3"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3" fillId="2" borderId="17" xfId="0" applyFont="1" applyFill="1" applyBorder="1" applyProtection="1">
      <protection locked="0"/>
    </xf>
    <xf numFmtId="0" fontId="10" fillId="0" borderId="15" xfId="0" applyFont="1" applyBorder="1" applyProtection="1">
      <protection locked="0"/>
    </xf>
    <xf numFmtId="0" fontId="13" fillId="2" borderId="18" xfId="0" applyFont="1" applyFill="1" applyBorder="1" applyAlignment="1" applyProtection="1">
      <alignment horizontal="center"/>
      <protection locked="0"/>
    </xf>
    <xf numFmtId="0" fontId="13" fillId="2" borderId="15" xfId="0" applyFont="1" applyFill="1" applyBorder="1" applyAlignment="1" applyProtection="1">
      <alignment horizontal="center"/>
      <protection locked="0"/>
    </xf>
    <xf numFmtId="0" fontId="13" fillId="2" borderId="16" xfId="0" applyFont="1" applyFill="1" applyBorder="1" applyAlignment="1" applyProtection="1">
      <alignment horizontal="center"/>
      <protection locked="0"/>
    </xf>
    <xf numFmtId="0" fontId="13" fillId="2" borderId="19" xfId="0" applyFont="1" applyFill="1" applyBorder="1" applyAlignment="1" applyProtection="1">
      <alignment horizontal="left" wrapText="1"/>
      <protection locked="0"/>
    </xf>
    <xf numFmtId="0" fontId="13" fillId="2" borderId="20" xfId="0" applyFont="1" applyFill="1" applyBorder="1" applyAlignment="1" applyProtection="1">
      <alignment vertical="center" wrapText="1"/>
      <protection locked="0"/>
    </xf>
    <xf numFmtId="0" fontId="12" fillId="2" borderId="19" xfId="0" applyFont="1" applyFill="1" applyBorder="1" applyAlignment="1" applyProtection="1">
      <alignment horizontal="center" vertical="center" wrapText="1"/>
      <protection locked="0"/>
    </xf>
    <xf numFmtId="0" fontId="12" fillId="2" borderId="21" xfId="0" applyFont="1" applyFill="1" applyBorder="1" applyAlignment="1" applyProtection="1">
      <alignment horizontal="center" vertical="center" wrapText="1"/>
      <protection locked="0"/>
    </xf>
    <xf numFmtId="0" fontId="12" fillId="2" borderId="22" xfId="0" applyFont="1" applyFill="1" applyBorder="1" applyAlignment="1" applyProtection="1">
      <alignment horizontal="center" vertical="center" wrapText="1"/>
      <protection locked="0"/>
    </xf>
    <xf numFmtId="0" fontId="12" fillId="2" borderId="23" xfId="0" applyFont="1" applyFill="1" applyBorder="1" applyAlignment="1" applyProtection="1">
      <alignment horizontal="center" vertical="center" wrapText="1"/>
      <protection locked="0"/>
    </xf>
    <xf numFmtId="0" fontId="12" fillId="2" borderId="24" xfId="0" applyFont="1" applyFill="1" applyBorder="1" applyAlignment="1" applyProtection="1">
      <alignment horizontal="center" vertical="center" wrapText="1"/>
      <protection locked="0"/>
    </xf>
    <xf numFmtId="0" fontId="12" fillId="2" borderId="25" xfId="0" applyFont="1" applyFill="1" applyBorder="1" applyAlignment="1" applyProtection="1">
      <alignment horizontal="center" vertical="center" wrapText="1"/>
      <protection locked="0"/>
    </xf>
    <xf numFmtId="0" fontId="13" fillId="2" borderId="23" xfId="0" quotePrefix="1" applyFont="1" applyFill="1" applyBorder="1" applyAlignment="1">
      <alignment horizontal="center" vertical="center" wrapText="1"/>
    </xf>
    <xf numFmtId="0" fontId="13" fillId="2" borderId="26" xfId="2" applyFont="1" applyFill="1" applyBorder="1" applyAlignment="1" applyProtection="1">
      <alignment vertical="center" wrapText="1"/>
      <protection locked="0"/>
    </xf>
    <xf numFmtId="0" fontId="12" fillId="2" borderId="26" xfId="0" applyFont="1" applyFill="1" applyBorder="1" applyAlignment="1" applyProtection="1">
      <alignment horizontal="center" vertical="center" wrapText="1"/>
      <protection locked="0"/>
    </xf>
    <xf numFmtId="0" fontId="12" fillId="2" borderId="26" xfId="0" quotePrefix="1" applyFont="1" applyFill="1" applyBorder="1" applyAlignment="1" applyProtection="1">
      <alignment horizontal="center" vertical="center"/>
      <protection locked="0"/>
    </xf>
    <xf numFmtId="0" fontId="14" fillId="0" borderId="26" xfId="0" applyFont="1" applyBorder="1" applyAlignment="1" applyProtection="1">
      <alignment horizontal="center" vertical="center"/>
      <protection locked="0"/>
    </xf>
    <xf numFmtId="0" fontId="10" fillId="0" borderId="26" xfId="0" applyFont="1" applyBorder="1" applyAlignment="1" applyProtection="1">
      <alignment horizontal="justify" vertical="center" wrapText="1"/>
      <protection locked="0"/>
    </xf>
    <xf numFmtId="0" fontId="14" fillId="0" borderId="26" xfId="0" applyFont="1" applyBorder="1" applyAlignment="1" applyProtection="1">
      <alignment horizontal="center" vertical="center" wrapText="1"/>
      <protection locked="0"/>
    </xf>
    <xf numFmtId="0" fontId="14" fillId="0" borderId="26" xfId="0" applyFont="1" applyBorder="1" applyAlignment="1" applyProtection="1">
      <alignment horizontal="right" vertical="center" wrapText="1"/>
      <protection locked="0"/>
    </xf>
    <xf numFmtId="3" fontId="15" fillId="0" borderId="26" xfId="0" applyNumberFormat="1" applyFont="1" applyBorder="1" applyAlignment="1" applyProtection="1">
      <alignment horizontal="right" vertical="center"/>
      <protection locked="0"/>
    </xf>
    <xf numFmtId="164" fontId="14" fillId="0" borderId="26" xfId="1" applyNumberFormat="1" applyFont="1" applyBorder="1" applyAlignment="1" applyProtection="1">
      <alignment horizontal="right" vertical="center"/>
      <protection locked="0"/>
    </xf>
    <xf numFmtId="0" fontId="14" fillId="3" borderId="26" xfId="0" applyFont="1" applyFill="1" applyBorder="1" applyAlignment="1" applyProtection="1">
      <alignment horizontal="center" vertical="center" wrapText="1"/>
      <protection locked="0"/>
    </xf>
    <xf numFmtId="0" fontId="14" fillId="3" borderId="26" xfId="0" applyFont="1" applyFill="1" applyBorder="1" applyAlignment="1" applyProtection="1">
      <alignment horizontal="right" vertical="center" wrapText="1"/>
      <protection locked="0"/>
    </xf>
    <xf numFmtId="3" fontId="15" fillId="3" borderId="26" xfId="0" applyNumberFormat="1" applyFont="1" applyFill="1" applyBorder="1" applyAlignment="1" applyProtection="1">
      <alignment horizontal="right" vertical="center"/>
      <protection locked="0"/>
    </xf>
    <xf numFmtId="164" fontId="14" fillId="3" borderId="26" xfId="1" applyNumberFormat="1" applyFont="1" applyFill="1" applyBorder="1" applyAlignment="1" applyProtection="1">
      <alignment horizontal="right" vertical="center"/>
      <protection locked="0"/>
    </xf>
    <xf numFmtId="0" fontId="14" fillId="4" borderId="26" xfId="0" applyFont="1" applyFill="1" applyBorder="1" applyAlignment="1" applyProtection="1">
      <alignment horizontal="center" vertical="center" wrapText="1"/>
      <protection locked="0"/>
    </xf>
    <xf numFmtId="0" fontId="14" fillId="4" borderId="26" xfId="0" applyFont="1" applyFill="1" applyBorder="1" applyAlignment="1" applyProtection="1">
      <alignment horizontal="right" vertical="center" wrapText="1"/>
      <protection locked="0"/>
    </xf>
    <xf numFmtId="3" fontId="15" fillId="4" borderId="26" xfId="0" applyNumberFormat="1" applyFont="1" applyFill="1" applyBorder="1" applyAlignment="1" applyProtection="1">
      <alignment horizontal="right" vertical="center"/>
      <protection locked="0"/>
    </xf>
    <xf numFmtId="164" fontId="14" fillId="4" borderId="26" xfId="1" applyNumberFormat="1" applyFont="1" applyFill="1" applyBorder="1" applyAlignment="1" applyProtection="1">
      <alignment horizontal="right" vertical="center"/>
      <protection locked="0"/>
    </xf>
    <xf numFmtId="0" fontId="12" fillId="5" borderId="26" xfId="0" applyFont="1" applyFill="1" applyBorder="1" applyAlignment="1" applyProtection="1">
      <alignment horizontal="justify" vertical="center" wrapText="1"/>
      <protection locked="0"/>
    </xf>
    <xf numFmtId="0" fontId="14" fillId="5" borderId="26" xfId="0" applyFont="1" applyFill="1" applyBorder="1" applyAlignment="1" applyProtection="1">
      <alignment horizontal="center" vertical="center" wrapText="1"/>
      <protection locked="0"/>
    </xf>
    <xf numFmtId="0" fontId="14" fillId="5" borderId="26" xfId="0" applyFont="1" applyFill="1" applyBorder="1" applyAlignment="1" applyProtection="1">
      <alignment horizontal="right" vertical="center" wrapText="1"/>
      <protection locked="0"/>
    </xf>
    <xf numFmtId="0" fontId="14" fillId="5" borderId="25" xfId="0" applyFont="1" applyFill="1" applyBorder="1" applyAlignment="1" applyProtection="1">
      <alignment horizontal="right" vertical="center" wrapText="1"/>
      <protection locked="0"/>
    </xf>
    <xf numFmtId="3" fontId="15" fillId="5" borderId="25" xfId="0" applyNumberFormat="1" applyFont="1" applyFill="1" applyBorder="1" applyAlignment="1" applyProtection="1">
      <alignment horizontal="right" vertical="center"/>
      <protection locked="0"/>
    </xf>
    <xf numFmtId="164" fontId="16" fillId="5" borderId="26" xfId="1" applyNumberFormat="1" applyFont="1" applyFill="1" applyBorder="1" applyAlignment="1" applyProtection="1">
      <alignment horizontal="right" vertical="center"/>
      <protection locked="0"/>
    </xf>
    <xf numFmtId="0" fontId="14" fillId="6" borderId="26" xfId="0" applyFont="1" applyFill="1" applyBorder="1" applyAlignment="1">
      <alignment horizontal="center" vertical="center"/>
    </xf>
    <xf numFmtId="0" fontId="12" fillId="6" borderId="26" xfId="0" applyFont="1" applyFill="1" applyBorder="1" applyAlignment="1">
      <alignment horizontal="justify" vertical="center" wrapText="1"/>
    </xf>
    <xf numFmtId="0" fontId="14" fillId="6" borderId="26" xfId="0" applyFont="1" applyFill="1" applyBorder="1" applyAlignment="1">
      <alignment horizontal="center" vertical="center" wrapText="1"/>
    </xf>
    <xf numFmtId="0" fontId="14" fillId="6" borderId="26" xfId="0" applyFont="1" applyFill="1" applyBorder="1" applyAlignment="1">
      <alignment horizontal="right" vertical="center" wrapText="1"/>
    </xf>
    <xf numFmtId="0" fontId="14" fillId="6" borderId="25" xfId="0" applyFont="1" applyFill="1" applyBorder="1" applyAlignment="1">
      <alignment horizontal="right" vertical="center" wrapText="1"/>
    </xf>
    <xf numFmtId="3" fontId="15" fillId="6" borderId="25" xfId="0" applyNumberFormat="1" applyFont="1" applyFill="1" applyBorder="1" applyAlignment="1">
      <alignment horizontal="right" vertical="center"/>
    </xf>
    <xf numFmtId="164" fontId="16" fillId="6" borderId="26" xfId="1" applyNumberFormat="1" applyFont="1" applyFill="1" applyBorder="1" applyAlignment="1" applyProtection="1">
      <alignment horizontal="right" vertical="center"/>
      <protection locked="0"/>
    </xf>
    <xf numFmtId="0" fontId="13" fillId="0" borderId="23" xfId="0" applyFont="1" applyBorder="1" applyAlignment="1">
      <alignment horizontal="center" vertical="center" wrapText="1"/>
    </xf>
    <xf numFmtId="0" fontId="13" fillId="2" borderId="23" xfId="0" applyFont="1" applyFill="1" applyBorder="1" applyAlignment="1">
      <alignment horizontal="center" vertical="center" wrapText="1"/>
    </xf>
    <xf numFmtId="0" fontId="14" fillId="5" borderId="26" xfId="0" applyFont="1" applyFill="1" applyBorder="1" applyAlignment="1">
      <alignment horizontal="center" vertical="center"/>
    </xf>
    <xf numFmtId="0" fontId="12" fillId="5" borderId="26" xfId="0" applyFont="1" applyFill="1" applyBorder="1" applyAlignment="1">
      <alignment horizontal="justify" vertical="center" wrapText="1"/>
    </xf>
    <xf numFmtId="0" fontId="14" fillId="5" borderId="26" xfId="0" applyFont="1" applyFill="1" applyBorder="1" applyAlignment="1">
      <alignment horizontal="center" vertical="center" wrapText="1"/>
    </xf>
    <xf numFmtId="0" fontId="14" fillId="5" borderId="26" xfId="0" applyFont="1" applyFill="1" applyBorder="1" applyAlignment="1">
      <alignment horizontal="right" vertical="center" wrapText="1"/>
    </xf>
    <xf numFmtId="0" fontId="14" fillId="5" borderId="25" xfId="0" applyFont="1" applyFill="1" applyBorder="1" applyAlignment="1">
      <alignment horizontal="right" vertical="center" wrapText="1"/>
    </xf>
    <xf numFmtId="3" fontId="15" fillId="5" borderId="25" xfId="0" applyNumberFormat="1" applyFont="1" applyFill="1" applyBorder="1" applyAlignment="1">
      <alignment horizontal="right" vertical="center"/>
    </xf>
    <xf numFmtId="0" fontId="14" fillId="7" borderId="27" xfId="0" applyFont="1" applyFill="1" applyBorder="1" applyAlignment="1">
      <alignment horizontal="center" vertical="center"/>
    </xf>
    <xf numFmtId="0" fontId="12" fillId="7" borderId="27" xfId="0" applyFont="1" applyFill="1" applyBorder="1" applyAlignment="1">
      <alignment horizontal="justify" vertical="center" wrapText="1"/>
    </xf>
    <xf numFmtId="0" fontId="14" fillId="7" borderId="27" xfId="0" applyFont="1" applyFill="1" applyBorder="1" applyAlignment="1">
      <alignment horizontal="center" vertical="center" wrapText="1"/>
    </xf>
    <xf numFmtId="0" fontId="14" fillId="7" borderId="27" xfId="0" applyFont="1" applyFill="1" applyBorder="1" applyAlignment="1">
      <alignment horizontal="right" vertical="center" wrapText="1"/>
    </xf>
    <xf numFmtId="0" fontId="14" fillId="7" borderId="28" xfId="0" applyFont="1" applyFill="1" applyBorder="1" applyAlignment="1">
      <alignment horizontal="right" vertical="center" wrapText="1"/>
    </xf>
    <xf numFmtId="3" fontId="15" fillId="7" borderId="28" xfId="0" applyNumberFormat="1" applyFont="1" applyFill="1" applyBorder="1" applyAlignment="1">
      <alignment horizontal="right" vertical="center"/>
    </xf>
    <xf numFmtId="164" fontId="16" fillId="7" borderId="27" xfId="1" applyNumberFormat="1" applyFont="1" applyFill="1" applyBorder="1" applyAlignment="1" applyProtection="1">
      <alignment horizontal="right" vertical="center"/>
      <protection locked="0"/>
    </xf>
    <xf numFmtId="0" fontId="14" fillId="7" borderId="26" xfId="0" applyFont="1" applyFill="1" applyBorder="1" applyAlignment="1">
      <alignment horizontal="center" vertical="center" wrapText="1"/>
    </xf>
    <xf numFmtId="0" fontId="14" fillId="7" borderId="26" xfId="0" applyFont="1" applyFill="1" applyBorder="1" applyAlignment="1">
      <alignment horizontal="right" vertical="center" wrapText="1"/>
    </xf>
    <xf numFmtId="0" fontId="14" fillId="7" borderId="25" xfId="0" applyFont="1" applyFill="1" applyBorder="1" applyAlignment="1">
      <alignment horizontal="right" vertical="center" wrapText="1"/>
    </xf>
    <xf numFmtId="3" fontId="15" fillId="7" borderId="25" xfId="0" applyNumberFormat="1" applyFont="1" applyFill="1" applyBorder="1" applyAlignment="1">
      <alignment horizontal="right" vertical="center"/>
    </xf>
    <xf numFmtId="164" fontId="16" fillId="7" borderId="26" xfId="1" applyNumberFormat="1" applyFont="1" applyFill="1" applyBorder="1" applyAlignment="1" applyProtection="1">
      <alignment horizontal="right" vertical="center"/>
      <protection locked="0"/>
    </xf>
    <xf numFmtId="0" fontId="14" fillId="4" borderId="29" xfId="0" applyFont="1" applyFill="1" applyBorder="1" applyAlignment="1" applyProtection="1">
      <alignment horizontal="center" vertical="center"/>
      <protection locked="0"/>
    </xf>
    <xf numFmtId="0" fontId="17" fillId="4" borderId="30" xfId="0" applyFont="1" applyFill="1" applyBorder="1" applyAlignment="1" applyProtection="1">
      <alignment horizontal="left" vertical="center"/>
      <protection locked="0"/>
    </xf>
    <xf numFmtId="0" fontId="14" fillId="4" borderId="30" xfId="0" applyFont="1" applyFill="1" applyBorder="1" applyAlignment="1" applyProtection="1">
      <alignment horizontal="right" vertical="center" wrapText="1"/>
      <protection locked="0"/>
    </xf>
    <xf numFmtId="164" fontId="17" fillId="4" borderId="31" xfId="1" applyNumberFormat="1" applyFont="1" applyFill="1" applyBorder="1" applyAlignment="1" applyProtection="1">
      <alignment horizontal="right" vertical="center"/>
      <protection locked="0"/>
    </xf>
    <xf numFmtId="0" fontId="10" fillId="0" borderId="8" xfId="0" applyFont="1" applyBorder="1" applyProtection="1">
      <protection locked="0"/>
    </xf>
    <xf numFmtId="0" fontId="10" fillId="0" borderId="9" xfId="0" applyFont="1" applyBorder="1" applyProtection="1">
      <protection locked="0"/>
    </xf>
    <xf numFmtId="0" fontId="10" fillId="4" borderId="32" xfId="0" applyFont="1" applyFill="1" applyBorder="1" applyProtection="1">
      <protection locked="0"/>
    </xf>
    <xf numFmtId="0" fontId="12" fillId="4" borderId="26" xfId="0" applyFont="1" applyFill="1" applyBorder="1" applyAlignment="1" applyProtection="1">
      <alignment horizontal="left"/>
      <protection locked="0"/>
    </xf>
    <xf numFmtId="0" fontId="12" fillId="4" borderId="23" xfId="0" applyFont="1" applyFill="1" applyBorder="1" applyAlignment="1" applyProtection="1">
      <alignment horizontal="left"/>
      <protection locked="0"/>
    </xf>
    <xf numFmtId="0" fontId="10" fillId="0" borderId="13" xfId="0" applyFont="1" applyBorder="1" applyProtection="1">
      <protection locked="0"/>
    </xf>
    <xf numFmtId="0" fontId="10" fillId="0" borderId="33" xfId="0" applyFont="1" applyBorder="1" applyProtection="1">
      <protection locked="0"/>
    </xf>
    <xf numFmtId="0" fontId="12" fillId="0" borderId="26" xfId="0" applyFont="1" applyBorder="1" applyAlignment="1" applyProtection="1">
      <alignment horizontal="center"/>
      <protection locked="0"/>
    </xf>
    <xf numFmtId="0" fontId="12" fillId="0" borderId="26" xfId="0" applyFont="1" applyBorder="1" applyAlignment="1" applyProtection="1">
      <alignment horizontal="center"/>
      <protection locked="0"/>
    </xf>
    <xf numFmtId="0" fontId="12" fillId="0" borderId="26" xfId="0" applyFont="1" applyBorder="1" applyAlignment="1" applyProtection="1">
      <alignment horizontal="left"/>
      <protection locked="0"/>
    </xf>
    <xf numFmtId="0" fontId="12" fillId="0" borderId="23" xfId="0" applyFont="1" applyBorder="1" applyAlignment="1" applyProtection="1">
      <alignment horizontal="left"/>
      <protection locked="0"/>
    </xf>
    <xf numFmtId="0" fontId="12" fillId="0" borderId="26" xfId="0" applyFont="1" applyBorder="1" applyProtection="1">
      <protection locked="0"/>
    </xf>
    <xf numFmtId="0" fontId="12" fillId="0" borderId="23" xfId="0" applyFont="1" applyBorder="1" applyProtection="1">
      <protection locked="0"/>
    </xf>
    <xf numFmtId="0" fontId="12" fillId="0" borderId="26" xfId="0" applyFont="1" applyBorder="1" applyAlignment="1" applyProtection="1">
      <alignment horizontal="left"/>
      <protection locked="0"/>
    </xf>
    <xf numFmtId="0" fontId="10" fillId="4" borderId="34" xfId="0" applyFont="1" applyFill="1" applyBorder="1" applyProtection="1">
      <protection locked="0"/>
    </xf>
    <xf numFmtId="0" fontId="12" fillId="0" borderId="35" xfId="0" applyFont="1" applyBorder="1" applyAlignment="1" applyProtection="1">
      <alignment horizontal="left"/>
      <protection locked="0"/>
    </xf>
    <xf numFmtId="0" fontId="12" fillId="0" borderId="35" xfId="0" applyFont="1" applyBorder="1" applyAlignment="1" applyProtection="1">
      <alignment horizontal="left"/>
      <protection locked="0"/>
    </xf>
    <xf numFmtId="0" fontId="12" fillId="0" borderId="36" xfId="0" applyFont="1" applyBorder="1" applyAlignment="1" applyProtection="1">
      <alignment horizontal="left"/>
      <protection locked="0"/>
    </xf>
    <xf numFmtId="0" fontId="10" fillId="0" borderId="14" xfId="0" applyFont="1" applyBorder="1" applyProtection="1">
      <protection locked="0"/>
    </xf>
    <xf numFmtId="0" fontId="10" fillId="0" borderId="16" xfId="0" applyFont="1" applyBorder="1" applyProtection="1">
      <protection locked="0"/>
    </xf>
    <xf numFmtId="0" fontId="0" fillId="8" borderId="0" xfId="0" applyFill="1"/>
    <xf numFmtId="0" fontId="18" fillId="0" borderId="0" xfId="0" applyFont="1" applyAlignment="1" applyProtection="1">
      <alignment horizontal="left"/>
      <protection locked="0"/>
    </xf>
    <xf numFmtId="0" fontId="4" fillId="0" borderId="0" xfId="0" applyFont="1" applyProtection="1">
      <protection locked="0"/>
    </xf>
    <xf numFmtId="0" fontId="5" fillId="0" borderId="0" xfId="0" applyFont="1" applyAlignment="1" applyProtection="1">
      <alignment horizontal="center" vertical="top" wrapText="1"/>
      <protection locked="0"/>
    </xf>
    <xf numFmtId="0" fontId="7" fillId="0" borderId="0" xfId="0" quotePrefix="1" applyFont="1" applyAlignment="1" applyProtection="1">
      <alignment horizontal="left"/>
      <protection locked="0"/>
    </xf>
    <xf numFmtId="0" fontId="7" fillId="0" borderId="0" xfId="0" applyFont="1" applyProtection="1">
      <protection locked="0"/>
    </xf>
    <xf numFmtId="0" fontId="2" fillId="9" borderId="8" xfId="0" applyFont="1" applyFill="1" applyBorder="1" applyProtection="1">
      <protection locked="0"/>
    </xf>
    <xf numFmtId="0" fontId="2" fillId="9" borderId="2" xfId="0" applyFont="1" applyFill="1" applyBorder="1" applyProtection="1">
      <protection locked="0"/>
    </xf>
    <xf numFmtId="165" fontId="2" fillId="9" borderId="9" xfId="0" applyNumberFormat="1" applyFont="1" applyFill="1" applyBorder="1" applyProtection="1">
      <protection locked="0"/>
    </xf>
    <xf numFmtId="0" fontId="0" fillId="9" borderId="13" xfId="0" applyFill="1" applyBorder="1" applyProtection="1">
      <protection locked="0"/>
    </xf>
    <xf numFmtId="0" fontId="0" fillId="9" borderId="0" xfId="0" applyFill="1" applyProtection="1">
      <protection locked="0"/>
    </xf>
    <xf numFmtId="0" fontId="0" fillId="9" borderId="33" xfId="0" applyFill="1" applyBorder="1" applyProtection="1">
      <protection locked="0"/>
    </xf>
    <xf numFmtId="0" fontId="2" fillId="9" borderId="13" xfId="0" applyFont="1" applyFill="1" applyBorder="1" applyProtection="1">
      <protection locked="0"/>
    </xf>
    <xf numFmtId="0" fontId="2" fillId="9" borderId="14" xfId="0" applyFont="1" applyFill="1" applyBorder="1" applyProtection="1">
      <protection locked="0"/>
    </xf>
    <xf numFmtId="0" fontId="0" fillId="9" borderId="15" xfId="0" applyFill="1" applyBorder="1" applyProtection="1">
      <protection locked="0"/>
    </xf>
    <xf numFmtId="0" fontId="0" fillId="9" borderId="16" xfId="0" applyFill="1" applyBorder="1" applyProtection="1">
      <protection locked="0"/>
    </xf>
    <xf numFmtId="0" fontId="9" fillId="0" borderId="8" xfId="0" applyFont="1" applyBorder="1" applyAlignment="1" applyProtection="1">
      <alignment horizontal="center"/>
      <protection locked="0"/>
    </xf>
    <xf numFmtId="0" fontId="9" fillId="0" borderId="2" xfId="0" applyFont="1" applyBorder="1" applyAlignment="1" applyProtection="1">
      <alignment horizontal="center"/>
      <protection locked="0"/>
    </xf>
    <xf numFmtId="0" fontId="9" fillId="0" borderId="9" xfId="0" applyFont="1" applyBorder="1" applyAlignment="1" applyProtection="1">
      <alignment horizontal="center"/>
      <protection locked="0"/>
    </xf>
    <xf numFmtId="0" fontId="9" fillId="0" borderId="13" xfId="0" applyFont="1" applyBorder="1" applyAlignment="1" applyProtection="1">
      <alignment horizontal="center"/>
      <protection locked="0"/>
    </xf>
    <xf numFmtId="0" fontId="9" fillId="0" borderId="0" xfId="0" applyFont="1" applyAlignment="1" applyProtection="1">
      <alignment horizontal="center"/>
      <protection locked="0"/>
    </xf>
    <xf numFmtId="0" fontId="9" fillId="0" borderId="33" xfId="0" applyFont="1" applyBorder="1" applyAlignment="1" applyProtection="1">
      <alignment horizontal="center"/>
      <protection locked="0"/>
    </xf>
    <xf numFmtId="0" fontId="9" fillId="0" borderId="14" xfId="0" applyFont="1" applyBorder="1" applyAlignment="1" applyProtection="1">
      <alignment horizontal="center"/>
      <protection locked="0"/>
    </xf>
    <xf numFmtId="0" fontId="9" fillId="0" borderId="15" xfId="0" applyFont="1" applyBorder="1" applyAlignment="1" applyProtection="1">
      <alignment horizontal="center"/>
      <protection locked="0"/>
    </xf>
    <xf numFmtId="0" fontId="9" fillId="0" borderId="16" xfId="0" applyFont="1" applyBorder="1" applyAlignment="1" applyProtection="1">
      <alignment horizontal="center"/>
      <protection locked="0"/>
    </xf>
    <xf numFmtId="0" fontId="19" fillId="0" borderId="0" xfId="0" applyFont="1" applyProtection="1">
      <protection locked="0"/>
    </xf>
    <xf numFmtId="0" fontId="20" fillId="0" borderId="8" xfId="0" applyFont="1" applyBorder="1" applyProtection="1">
      <protection locked="0"/>
    </xf>
    <xf numFmtId="0" fontId="20" fillId="0" borderId="2" xfId="0" applyFont="1" applyBorder="1" applyProtection="1">
      <protection locked="0"/>
    </xf>
    <xf numFmtId="0" fontId="20" fillId="0" borderId="9" xfId="0" applyFont="1" applyBorder="1" applyProtection="1">
      <protection locked="0"/>
    </xf>
    <xf numFmtId="0" fontId="20" fillId="0" borderId="13" xfId="0" applyFont="1" applyBorder="1" applyProtection="1">
      <protection locked="0"/>
    </xf>
    <xf numFmtId="0" fontId="20" fillId="0" borderId="0" xfId="0" applyFont="1" applyProtection="1">
      <protection locked="0"/>
    </xf>
    <xf numFmtId="0" fontId="20" fillId="0" borderId="33" xfId="0" applyFont="1" applyBorder="1" applyProtection="1">
      <protection locked="0"/>
    </xf>
    <xf numFmtId="0" fontId="21" fillId="0" borderId="8" xfId="0" applyFont="1" applyBorder="1" applyAlignment="1" applyProtection="1">
      <alignment horizontal="center"/>
      <protection locked="0"/>
    </xf>
    <xf numFmtId="0" fontId="21" fillId="0" borderId="3" xfId="0" applyFont="1" applyBorder="1" applyAlignment="1" applyProtection="1">
      <alignment horizontal="center"/>
      <protection locked="0"/>
    </xf>
    <xf numFmtId="0" fontId="21" fillId="0" borderId="4" xfId="0" applyFont="1" applyBorder="1" applyAlignment="1" applyProtection="1">
      <alignment horizontal="center"/>
      <protection locked="0"/>
    </xf>
    <xf numFmtId="0" fontId="21" fillId="0" borderId="5" xfId="0" applyFont="1" applyBorder="1" applyAlignment="1" applyProtection="1">
      <alignment horizontal="center"/>
      <protection locked="0"/>
    </xf>
    <xf numFmtId="0" fontId="21" fillId="0" borderId="17" xfId="0" applyFont="1" applyBorder="1" applyProtection="1">
      <protection locked="0"/>
    </xf>
    <xf numFmtId="0" fontId="21" fillId="0" borderId="37" xfId="0" applyFont="1" applyBorder="1" applyAlignment="1" applyProtection="1">
      <alignment horizontal="center"/>
      <protection locked="0"/>
    </xf>
    <xf numFmtId="43" fontId="8" fillId="0" borderId="2" xfId="1" applyFont="1" applyBorder="1" applyAlignment="1" applyProtection="1">
      <alignment horizontal="left"/>
      <protection hidden="1"/>
    </xf>
    <xf numFmtId="0" fontId="8" fillId="0" borderId="2" xfId="0" applyFont="1" applyBorder="1" applyAlignment="1" applyProtection="1">
      <alignment horizontal="center"/>
      <protection hidden="1"/>
    </xf>
    <xf numFmtId="0" fontId="22" fillId="0" borderId="2" xfId="0" applyFont="1" applyBorder="1" applyAlignment="1" applyProtection="1">
      <alignment horizontal="center"/>
      <protection hidden="1"/>
    </xf>
    <xf numFmtId="0" fontId="21" fillId="0" borderId="2" xfId="0" applyFont="1" applyBorder="1" applyAlignment="1" applyProtection="1">
      <alignment horizontal="center"/>
      <protection hidden="1"/>
    </xf>
    <xf numFmtId="0" fontId="21" fillId="0" borderId="9" xfId="0" applyFont="1" applyBorder="1" applyAlignment="1" applyProtection="1">
      <alignment horizontal="center"/>
      <protection hidden="1"/>
    </xf>
    <xf numFmtId="164" fontId="23" fillId="0" borderId="37" xfId="1" applyNumberFormat="1" applyFont="1" applyBorder="1" applyProtection="1">
      <protection hidden="1"/>
    </xf>
    <xf numFmtId="43" fontId="11" fillId="0" borderId="2" xfId="1" applyFont="1" applyBorder="1" applyAlignment="1" applyProtection="1">
      <alignment horizontal="left"/>
      <protection hidden="1"/>
    </xf>
    <xf numFmtId="0" fontId="23" fillId="0" borderId="2" xfId="0" applyFont="1" applyBorder="1" applyAlignment="1" applyProtection="1">
      <alignment horizontal="center"/>
      <protection hidden="1"/>
    </xf>
    <xf numFmtId="0" fontId="21" fillId="0" borderId="17" xfId="0" applyFont="1" applyBorder="1" applyAlignment="1" applyProtection="1">
      <alignment horizontal="center"/>
      <protection locked="0"/>
    </xf>
    <xf numFmtId="43" fontId="23" fillId="0" borderId="2" xfId="1" applyFont="1" applyBorder="1" applyAlignment="1" applyProtection="1">
      <alignment horizontal="left"/>
      <protection hidden="1"/>
    </xf>
    <xf numFmtId="0" fontId="0" fillId="0" borderId="38" xfId="0" applyBorder="1" applyProtection="1">
      <protection locked="0"/>
    </xf>
    <xf numFmtId="0" fontId="6" fillId="0" borderId="3" xfId="0" quotePrefix="1" applyFont="1" applyBorder="1" applyAlignment="1" applyProtection="1">
      <alignment horizontal="left"/>
      <protection hidden="1"/>
    </xf>
    <xf numFmtId="0" fontId="6" fillId="0" borderId="4" xfId="0" applyFont="1" applyBorder="1" applyAlignment="1" applyProtection="1">
      <alignment horizontal="left"/>
      <protection hidden="1"/>
    </xf>
    <xf numFmtId="0" fontId="6" fillId="0" borderId="5" xfId="0" applyFont="1" applyBorder="1" applyAlignment="1" applyProtection="1">
      <alignment horizontal="left"/>
      <protection hidden="1"/>
    </xf>
    <xf numFmtId="164" fontId="24" fillId="0" borderId="17" xfId="1" applyNumberFormat="1" applyFont="1" applyBorder="1" applyAlignment="1" applyProtection="1">
      <alignment horizontal="center"/>
      <protection hidden="1"/>
    </xf>
    <xf numFmtId="0" fontId="0" fillId="0" borderId="0" xfId="0" applyAlignment="1" applyProtection="1">
      <alignment horizontal="center"/>
      <protection locked="0"/>
    </xf>
    <xf numFmtId="0" fontId="0" fillId="0" borderId="2" xfId="0" applyBorder="1" applyAlignment="1" applyProtection="1">
      <alignment horizontal="center"/>
      <protection locked="0"/>
    </xf>
    <xf numFmtId="0" fontId="25" fillId="0" borderId="0" xfId="0" applyFont="1" applyAlignment="1" applyProtection="1">
      <alignment vertical="center"/>
      <protection locked="0"/>
    </xf>
    <xf numFmtId="0" fontId="27" fillId="0" borderId="0" xfId="3" applyFont="1" applyAlignment="1" applyProtection="1">
      <alignment horizontal="left"/>
      <protection locked="0"/>
    </xf>
    <xf numFmtId="0" fontId="28" fillId="0" borderId="0" xfId="3" applyFont="1" applyProtection="1">
      <protection locked="0"/>
    </xf>
    <xf numFmtId="0" fontId="30" fillId="0" borderId="0" xfId="4" applyFont="1" applyProtection="1">
      <protection locked="0"/>
    </xf>
    <xf numFmtId="0" fontId="31" fillId="0" borderId="0" xfId="3" applyFont="1" applyAlignment="1" applyProtection="1">
      <alignment horizontal="right"/>
      <protection locked="0"/>
    </xf>
    <xf numFmtId="0" fontId="32" fillId="0" borderId="0" xfId="3" applyFont="1" applyAlignment="1" applyProtection="1">
      <alignment horizontal="left"/>
      <protection locked="0"/>
    </xf>
    <xf numFmtId="0" fontId="28" fillId="0" borderId="0" xfId="3" applyFont="1" applyAlignment="1" applyProtection="1">
      <alignment horizontal="right"/>
      <protection locked="0"/>
    </xf>
    <xf numFmtId="14" fontId="33" fillId="0" borderId="0" xfId="4" quotePrefix="1" applyNumberFormat="1" applyFont="1" applyAlignment="1" applyProtection="1">
      <alignment horizontal="left"/>
      <protection locked="0"/>
    </xf>
    <xf numFmtId="0" fontId="28" fillId="0" borderId="0" xfId="4" applyFont="1" applyProtection="1">
      <protection locked="0"/>
    </xf>
    <xf numFmtId="0" fontId="34" fillId="0" borderId="0" xfId="0" applyFont="1" applyProtection="1">
      <protection locked="0"/>
    </xf>
    <xf numFmtId="0" fontId="30" fillId="0" borderId="0" xfId="3" applyFont="1" applyAlignment="1" applyProtection="1">
      <alignment horizontal="left"/>
      <protection locked="0"/>
    </xf>
    <xf numFmtId="0" fontId="30" fillId="0" borderId="0" xfId="3" applyFont="1" applyProtection="1">
      <protection locked="0"/>
    </xf>
    <xf numFmtId="3" fontId="30" fillId="0" borderId="0" xfId="3" applyNumberFormat="1" applyFont="1" applyAlignment="1" applyProtection="1">
      <alignment horizontal="center"/>
      <protection locked="0"/>
    </xf>
    <xf numFmtId="0" fontId="35" fillId="0" borderId="0" xfId="3" applyFont="1" applyAlignment="1" applyProtection="1">
      <alignment horizontal="left"/>
      <protection locked="0"/>
    </xf>
    <xf numFmtId="0" fontId="36" fillId="0" borderId="0" xfId="3" applyFont="1" applyAlignment="1" applyProtection="1">
      <alignment horizontal="left"/>
      <protection locked="0"/>
    </xf>
    <xf numFmtId="0" fontId="33" fillId="0" borderId="0" xfId="3" applyFont="1" applyAlignment="1" applyProtection="1">
      <alignment horizontal="left"/>
      <protection locked="0"/>
    </xf>
    <xf numFmtId="0" fontId="37" fillId="0" borderId="0" xfId="3" applyFont="1" applyAlignment="1" applyProtection="1">
      <alignment horizontal="left"/>
      <protection locked="0"/>
    </xf>
    <xf numFmtId="0" fontId="35" fillId="0" borderId="0" xfId="3" applyFont="1" applyProtection="1">
      <protection locked="0"/>
    </xf>
    <xf numFmtId="0" fontId="30" fillId="0" borderId="0" xfId="3" applyFont="1" applyAlignment="1" applyProtection="1">
      <alignment horizontal="left"/>
      <protection locked="0"/>
    </xf>
    <xf numFmtId="3" fontId="37" fillId="0" borderId="0" xfId="3" applyNumberFormat="1" applyFont="1" applyAlignment="1" applyProtection="1">
      <alignment horizontal="left"/>
      <protection locked="0"/>
    </xf>
    <xf numFmtId="0" fontId="37" fillId="0" borderId="0" xfId="4" applyFont="1" applyProtection="1">
      <protection locked="0"/>
    </xf>
    <xf numFmtId="0" fontId="33" fillId="0" borderId="0" xfId="3" applyFont="1" applyAlignment="1" applyProtection="1">
      <alignment horizontal="center"/>
      <protection locked="0"/>
    </xf>
    <xf numFmtId="0" fontId="28" fillId="0" borderId="0" xfId="3" applyFont="1" applyAlignment="1" applyProtection="1">
      <alignment horizontal="centerContinuous"/>
      <protection locked="0"/>
    </xf>
    <xf numFmtId="0" fontId="35" fillId="0" borderId="0" xfId="3" applyFont="1" applyAlignment="1" applyProtection="1">
      <alignment horizontal="left" vertical="center"/>
      <protection locked="0"/>
    </xf>
    <xf numFmtId="0" fontId="30" fillId="0" borderId="0" xfId="3" applyFont="1" applyAlignment="1" applyProtection="1">
      <alignment vertical="center"/>
      <protection locked="0"/>
    </xf>
    <xf numFmtId="0" fontId="38" fillId="0" borderId="39" xfId="3" applyFont="1" applyBorder="1" applyAlignment="1" applyProtection="1">
      <alignment horizontal="center" vertical="center"/>
      <protection locked="0"/>
    </xf>
    <xf numFmtId="0" fontId="38" fillId="0" borderId="40" xfId="3" applyFont="1" applyBorder="1" applyAlignment="1" applyProtection="1">
      <alignment horizontal="center" vertical="center"/>
      <protection locked="0"/>
    </xf>
    <xf numFmtId="0" fontId="38" fillId="0" borderId="41" xfId="3" applyFont="1" applyBorder="1" applyAlignment="1" applyProtection="1">
      <alignment horizontal="center" vertical="center"/>
      <protection locked="0"/>
    </xf>
    <xf numFmtId="0" fontId="30" fillId="0" borderId="42" xfId="3" applyFont="1" applyBorder="1" applyAlignment="1" applyProtection="1">
      <alignment vertical="center"/>
      <protection locked="0"/>
    </xf>
    <xf numFmtId="0" fontId="30" fillId="0" borderId="15" xfId="3" applyFont="1" applyBorder="1" applyAlignment="1" applyProtection="1">
      <alignment horizontal="left"/>
      <protection locked="0"/>
    </xf>
    <xf numFmtId="0" fontId="30" fillId="0" borderId="8" xfId="3" applyFont="1" applyBorder="1" applyAlignment="1" applyProtection="1">
      <alignment horizontal="center" vertical="center"/>
      <protection locked="0"/>
    </xf>
    <xf numFmtId="0" fontId="30" fillId="0" borderId="2" xfId="3" applyFont="1" applyBorder="1" applyAlignment="1" applyProtection="1">
      <alignment horizontal="center" vertical="center"/>
      <protection locked="0"/>
    </xf>
    <xf numFmtId="0" fontId="30" fillId="0" borderId="9" xfId="3" applyFont="1" applyBorder="1" applyAlignment="1" applyProtection="1">
      <alignment horizontal="center" vertical="center"/>
      <protection locked="0"/>
    </xf>
    <xf numFmtId="0" fontId="30" fillId="0" borderId="0" xfId="3" applyFont="1" applyAlignment="1" applyProtection="1">
      <alignment horizontal="center" vertical="center"/>
      <protection locked="0"/>
    </xf>
    <xf numFmtId="0" fontId="30" fillId="0" borderId="37" xfId="3" applyFont="1" applyBorder="1" applyAlignment="1" applyProtection="1">
      <alignment horizontal="center" vertical="center" wrapText="1"/>
      <protection locked="0"/>
    </xf>
    <xf numFmtId="0" fontId="30" fillId="0" borderId="43" xfId="3" applyFont="1" applyBorder="1" applyAlignment="1" applyProtection="1">
      <alignment horizontal="center" vertical="center" wrapText="1"/>
      <protection locked="0"/>
    </xf>
    <xf numFmtId="0" fontId="30" fillId="0" borderId="44" xfId="3" applyFont="1" applyBorder="1" applyAlignment="1" applyProtection="1">
      <alignment horizontal="center" vertical="center" wrapText="1"/>
      <protection locked="0"/>
    </xf>
    <xf numFmtId="0" fontId="30" fillId="10" borderId="44" xfId="3" applyFont="1" applyFill="1" applyBorder="1" applyAlignment="1" applyProtection="1">
      <alignment horizontal="center" vertical="center" wrapText="1"/>
      <protection locked="0"/>
    </xf>
    <xf numFmtId="3" fontId="30" fillId="10" borderId="45" xfId="3" applyNumberFormat="1" applyFont="1" applyFill="1" applyBorder="1" applyAlignment="1" applyProtection="1">
      <alignment horizontal="center" vertical="center" wrapText="1"/>
      <protection locked="0"/>
    </xf>
    <xf numFmtId="0" fontId="30" fillId="10" borderId="2" xfId="3" applyFont="1" applyFill="1" applyBorder="1" applyAlignment="1" applyProtection="1">
      <alignment horizontal="center" vertical="center" wrapText="1"/>
      <protection locked="0"/>
    </xf>
    <xf numFmtId="0" fontId="30" fillId="0" borderId="13" xfId="3" applyFont="1" applyBorder="1" applyAlignment="1" applyProtection="1">
      <alignment horizontal="center" vertical="center"/>
      <protection locked="0"/>
    </xf>
    <xf numFmtId="0" fontId="30" fillId="0" borderId="0" xfId="3" applyFont="1" applyAlignment="1" applyProtection="1">
      <alignment horizontal="center" vertical="center"/>
      <protection locked="0"/>
    </xf>
    <xf numFmtId="0" fontId="30" fillId="0" borderId="33" xfId="3" applyFont="1" applyBorder="1" applyAlignment="1" applyProtection="1">
      <alignment horizontal="center" vertical="center"/>
      <protection locked="0"/>
    </xf>
    <xf numFmtId="0" fontId="30" fillId="0" borderId="46" xfId="3" applyFont="1" applyBorder="1" applyAlignment="1" applyProtection="1">
      <alignment horizontal="center" vertical="center" wrapText="1"/>
      <protection locked="0"/>
    </xf>
    <xf numFmtId="14" fontId="37" fillId="0" borderId="47" xfId="3" applyNumberFormat="1" applyFont="1" applyBorder="1" applyAlignment="1" applyProtection="1">
      <alignment horizontal="center" vertical="center" wrapText="1"/>
      <protection locked="0"/>
    </xf>
    <xf numFmtId="0" fontId="30" fillId="0" borderId="11" xfId="3" applyFont="1" applyBorder="1" applyAlignment="1" applyProtection="1">
      <alignment horizontal="center" vertical="center" wrapText="1"/>
      <protection locked="0"/>
    </xf>
    <xf numFmtId="0" fontId="30" fillId="10" borderId="11" xfId="3" applyFont="1" applyFill="1" applyBorder="1" applyAlignment="1" applyProtection="1">
      <alignment horizontal="center" vertical="center" wrapText="1"/>
      <protection locked="0"/>
    </xf>
    <xf numFmtId="0" fontId="30" fillId="10" borderId="12" xfId="3" applyFont="1" applyFill="1" applyBorder="1" applyAlignment="1" applyProtection="1">
      <alignment horizontal="center" vertical="center" wrapText="1"/>
      <protection locked="0"/>
    </xf>
    <xf numFmtId="0" fontId="37" fillId="10" borderId="0" xfId="3" applyFont="1" applyFill="1" applyAlignment="1" applyProtection="1">
      <alignment horizontal="center" vertical="center" wrapText="1"/>
      <protection locked="0"/>
    </xf>
    <xf numFmtId="3" fontId="30" fillId="10" borderId="12" xfId="3" applyNumberFormat="1" applyFont="1" applyFill="1" applyBorder="1" applyAlignment="1" applyProtection="1">
      <alignment horizontal="center" vertical="center" wrapText="1"/>
      <protection locked="0"/>
    </xf>
    <xf numFmtId="0" fontId="30" fillId="0" borderId="14" xfId="3" applyFont="1" applyBorder="1" applyAlignment="1" applyProtection="1">
      <alignment horizontal="center" vertical="center"/>
      <protection locked="0"/>
    </xf>
    <xf numFmtId="0" fontId="30" fillId="0" borderId="15" xfId="3" applyFont="1" applyBorder="1" applyAlignment="1" applyProtection="1">
      <alignment horizontal="center" vertical="center"/>
      <protection locked="0"/>
    </xf>
    <xf numFmtId="0" fontId="30" fillId="0" borderId="16" xfId="3" applyFont="1" applyBorder="1" applyAlignment="1" applyProtection="1">
      <alignment horizontal="center" vertical="center"/>
      <protection locked="0"/>
    </xf>
    <xf numFmtId="0" fontId="28" fillId="0" borderId="0" xfId="3" applyFont="1" applyAlignment="1" applyProtection="1">
      <alignment vertical="center"/>
      <protection locked="0"/>
    </xf>
    <xf numFmtId="0" fontId="30" fillId="0" borderId="48" xfId="3" applyFont="1" applyBorder="1" applyAlignment="1" applyProtection="1">
      <alignment horizontal="center" vertical="center" wrapText="1"/>
      <protection locked="0"/>
    </xf>
    <xf numFmtId="0" fontId="28" fillId="0" borderId="47" xfId="3" quotePrefix="1" applyFont="1" applyBorder="1" applyAlignment="1" applyProtection="1">
      <alignment horizontal="center" vertical="center"/>
      <protection locked="0"/>
    </xf>
    <xf numFmtId="0" fontId="28" fillId="0" borderId="11" xfId="3" applyFont="1" applyBorder="1" applyAlignment="1" applyProtection="1">
      <alignment horizontal="center" vertical="center" wrapText="1"/>
      <protection locked="0"/>
    </xf>
    <xf numFmtId="0" fontId="28" fillId="10" borderId="11" xfId="3" applyFont="1" applyFill="1" applyBorder="1" applyAlignment="1" applyProtection="1">
      <alignment horizontal="center" vertical="center"/>
      <protection locked="0"/>
    </xf>
    <xf numFmtId="0" fontId="28" fillId="10" borderId="12" xfId="3" applyFont="1" applyFill="1" applyBorder="1" applyAlignment="1" applyProtection="1">
      <alignment horizontal="center" vertical="center" wrapText="1"/>
      <protection locked="0"/>
    </xf>
    <xf numFmtId="3" fontId="28" fillId="0" borderId="49" xfId="3" applyNumberFormat="1" applyFont="1" applyBorder="1" applyAlignment="1" applyProtection="1">
      <alignment horizontal="center" vertical="center"/>
      <protection locked="0"/>
    </xf>
    <xf numFmtId="0" fontId="28" fillId="10" borderId="50" xfId="3" applyFont="1" applyFill="1" applyBorder="1" applyAlignment="1" applyProtection="1">
      <alignment horizontal="center" vertical="center"/>
      <protection locked="0"/>
    </xf>
    <xf numFmtId="3" fontId="28" fillId="10" borderId="51" xfId="3" applyNumberFormat="1" applyFont="1" applyFill="1" applyBorder="1" applyAlignment="1" applyProtection="1">
      <alignment horizontal="center" vertical="center"/>
      <protection locked="0"/>
    </xf>
    <xf numFmtId="0" fontId="38" fillId="0" borderId="6" xfId="3" applyFont="1" applyBorder="1" applyAlignment="1" applyProtection="1">
      <alignment horizontal="left" vertical="center" wrapText="1"/>
      <protection locked="0"/>
    </xf>
    <xf numFmtId="0" fontId="38" fillId="0" borderId="24" xfId="3" applyFont="1" applyBorder="1" applyAlignment="1" applyProtection="1">
      <alignment horizontal="left" vertical="center" wrapText="1"/>
      <protection locked="0"/>
    </xf>
    <xf numFmtId="0" fontId="38" fillId="0" borderId="52" xfId="3" applyFont="1" applyBorder="1" applyAlignment="1" applyProtection="1">
      <alignment horizontal="left" vertical="center" wrapText="1"/>
      <protection locked="0"/>
    </xf>
    <xf numFmtId="0" fontId="35" fillId="0" borderId="0" xfId="3" applyFont="1" applyAlignment="1" applyProtection="1">
      <alignment horizontal="right" vertical="center"/>
      <protection locked="0"/>
    </xf>
    <xf numFmtId="49" fontId="35" fillId="0" borderId="53" xfId="5" applyNumberFormat="1" applyFont="1" applyFill="1" applyBorder="1" applyAlignment="1" applyProtection="1">
      <alignment horizontal="center" vertical="center"/>
      <protection locked="0"/>
    </xf>
    <xf numFmtId="37" fontId="35" fillId="0" borderId="32" xfId="6" applyNumberFormat="1" applyFont="1" applyFill="1" applyBorder="1" applyAlignment="1" applyProtection="1">
      <alignment horizontal="right" vertical="center"/>
      <protection locked="0"/>
    </xf>
    <xf numFmtId="37" fontId="35" fillId="0" borderId="26" xfId="6" applyNumberFormat="1" applyFont="1" applyBorder="1" applyAlignment="1" applyProtection="1">
      <alignment horizontal="right" vertical="center"/>
      <protection locked="0"/>
    </xf>
    <xf numFmtId="37" fontId="35" fillId="10" borderId="26" xfId="6" applyNumberFormat="1" applyFont="1" applyFill="1" applyBorder="1" applyAlignment="1" applyProtection="1">
      <alignment horizontal="right" vertical="center"/>
      <protection locked="0"/>
    </xf>
    <xf numFmtId="37" fontId="35" fillId="10" borderId="54" xfId="6" applyNumberFormat="1" applyFont="1" applyFill="1" applyBorder="1" applyAlignment="1" applyProtection="1">
      <alignment horizontal="right" vertical="center"/>
      <protection locked="0"/>
    </xf>
    <xf numFmtId="38" fontId="35" fillId="0" borderId="0" xfId="5" applyNumberFormat="1" applyFont="1" applyFill="1" applyAlignment="1" applyProtection="1">
      <alignment horizontal="right" vertical="center"/>
      <protection locked="0"/>
    </xf>
    <xf numFmtId="0" fontId="35" fillId="0" borderId="6" xfId="4" applyFont="1" applyBorder="1" applyAlignment="1" applyProtection="1">
      <alignment horizontal="right" vertical="center"/>
      <protection locked="0"/>
    </xf>
    <xf numFmtId="37" fontId="35" fillId="10" borderId="26" xfId="5" applyNumberFormat="1" applyFont="1" applyFill="1" applyBorder="1" applyAlignment="1" applyProtection="1">
      <alignment horizontal="right" vertical="center"/>
      <protection locked="0"/>
    </xf>
    <xf numFmtId="37" fontId="35" fillId="10" borderId="54" xfId="3" applyNumberFormat="1" applyFont="1" applyFill="1" applyBorder="1" applyAlignment="1" applyProtection="1">
      <alignment horizontal="right" vertical="center"/>
      <protection locked="0"/>
    </xf>
    <xf numFmtId="0" fontId="40" fillId="0" borderId="0" xfId="0" applyFont="1" applyProtection="1">
      <protection locked="0"/>
    </xf>
    <xf numFmtId="0" fontId="35" fillId="0" borderId="1" xfId="3" applyFont="1" applyBorder="1" applyAlignment="1" applyProtection="1">
      <alignment horizontal="left" vertical="center" wrapText="1"/>
      <protection hidden="1"/>
    </xf>
    <xf numFmtId="0" fontId="35" fillId="0" borderId="55" xfId="3" applyFont="1" applyBorder="1" applyAlignment="1" applyProtection="1">
      <alignment horizontal="left" vertical="center" wrapText="1"/>
      <protection hidden="1"/>
    </xf>
    <xf numFmtId="0" fontId="35" fillId="0" borderId="56" xfId="3" applyFont="1" applyBorder="1" applyAlignment="1" applyProtection="1">
      <alignment horizontal="left" vertical="center" wrapText="1"/>
      <protection hidden="1"/>
    </xf>
    <xf numFmtId="0" fontId="35" fillId="0" borderId="0" xfId="3" applyFont="1" applyAlignment="1" applyProtection="1">
      <alignment horizontal="right" vertical="center"/>
      <protection hidden="1"/>
    </xf>
    <xf numFmtId="49" fontId="35" fillId="0" borderId="57" xfId="3" applyNumberFormat="1" applyFont="1" applyBorder="1" applyAlignment="1" applyProtection="1">
      <alignment horizontal="center" vertical="center" wrapText="1"/>
      <protection hidden="1"/>
    </xf>
    <xf numFmtId="164" fontId="41" fillId="0" borderId="32" xfId="1" applyNumberFormat="1" applyFont="1" applyFill="1" applyBorder="1" applyAlignment="1" applyProtection="1">
      <alignment horizontal="right" vertical="center"/>
      <protection hidden="1"/>
    </xf>
    <xf numFmtId="164" fontId="41" fillId="0" borderId="26" xfId="1" applyNumberFormat="1" applyFont="1" applyBorder="1" applyAlignment="1" applyProtection="1">
      <alignment horizontal="right" vertical="center"/>
      <protection hidden="1"/>
    </xf>
    <xf numFmtId="37" fontId="41" fillId="0" borderId="58" xfId="3" applyNumberFormat="1" applyFont="1" applyBorder="1" applyAlignment="1" applyProtection="1">
      <alignment horizontal="right" wrapText="1"/>
      <protection locked="0"/>
    </xf>
    <xf numFmtId="37" fontId="35" fillId="10" borderId="26" xfId="3" applyNumberFormat="1" applyFont="1" applyFill="1" applyBorder="1" applyAlignment="1" applyProtection="1">
      <alignment horizontal="right" vertical="center" wrapText="1"/>
      <protection locked="0"/>
    </xf>
    <xf numFmtId="37" fontId="35" fillId="10" borderId="59" xfId="3" applyNumberFormat="1" applyFont="1" applyFill="1" applyBorder="1" applyAlignment="1" applyProtection="1">
      <alignment horizontal="right" vertical="center"/>
      <protection locked="0"/>
    </xf>
    <xf numFmtId="0" fontId="25" fillId="0" borderId="0" xfId="0" quotePrefix="1" applyFont="1" applyAlignment="1" applyProtection="1">
      <alignment horizontal="left" vertical="center"/>
      <protection locked="0"/>
    </xf>
    <xf numFmtId="0" fontId="35" fillId="0" borderId="1" xfId="3" quotePrefix="1" applyFont="1" applyBorder="1" applyAlignment="1" applyProtection="1">
      <alignment horizontal="left" vertical="center" wrapText="1"/>
      <protection hidden="1"/>
    </xf>
    <xf numFmtId="49" fontId="35" fillId="0" borderId="53" xfId="5" applyNumberFormat="1" applyFont="1" applyFill="1" applyBorder="1" applyAlignment="1" applyProtection="1">
      <alignment horizontal="center" vertical="center"/>
      <protection hidden="1"/>
    </xf>
    <xf numFmtId="164" fontId="41" fillId="0" borderId="58" xfId="1" applyNumberFormat="1" applyFont="1" applyFill="1" applyBorder="1" applyAlignment="1" applyProtection="1">
      <alignment horizontal="right" wrapText="1"/>
      <protection hidden="1"/>
    </xf>
    <xf numFmtId="164" fontId="41" fillId="0" borderId="26" xfId="1" applyNumberFormat="1" applyFont="1" applyBorder="1" applyAlignment="1" applyProtection="1">
      <alignment horizontal="right"/>
      <protection hidden="1"/>
    </xf>
    <xf numFmtId="164" fontId="35" fillId="0" borderId="6" xfId="1" applyNumberFormat="1" applyFont="1" applyBorder="1" applyAlignment="1" applyProtection="1">
      <alignment horizontal="right" vertical="center"/>
      <protection hidden="1"/>
    </xf>
    <xf numFmtId="0" fontId="38" fillId="0" borderId="0" xfId="3" applyFont="1" applyAlignment="1" applyProtection="1">
      <alignment horizontal="right" vertical="center"/>
      <protection hidden="1"/>
    </xf>
    <xf numFmtId="37" fontId="35" fillId="10" borderId="24" xfId="5" applyNumberFormat="1" applyFont="1" applyFill="1" applyBorder="1" applyAlignment="1" applyProtection="1">
      <alignment horizontal="right" vertical="center"/>
      <protection locked="0"/>
    </xf>
    <xf numFmtId="0" fontId="35" fillId="0" borderId="6" xfId="3" applyFont="1" applyBorder="1" applyAlignment="1" applyProtection="1">
      <alignment horizontal="left" vertical="center" wrapText="1"/>
      <protection locked="0"/>
    </xf>
    <xf numFmtId="0" fontId="35" fillId="0" borderId="24" xfId="3" applyFont="1" applyBorder="1" applyAlignment="1" applyProtection="1">
      <alignment horizontal="left" vertical="center" wrapText="1"/>
      <protection locked="0"/>
    </xf>
    <xf numFmtId="0" fontId="35" fillId="0" borderId="52" xfId="3" applyFont="1" applyBorder="1" applyAlignment="1" applyProtection="1">
      <alignment horizontal="left" vertical="center" wrapText="1"/>
      <protection locked="0"/>
    </xf>
    <xf numFmtId="49" fontId="35" fillId="0" borderId="60" xfId="5" applyNumberFormat="1" applyFont="1" applyFill="1" applyBorder="1" applyAlignment="1" applyProtection="1">
      <alignment horizontal="center" vertical="center"/>
      <protection locked="0"/>
    </xf>
    <xf numFmtId="164" fontId="35" fillId="0" borderId="34" xfId="6" applyNumberFormat="1" applyFont="1" applyFill="1" applyBorder="1" applyAlignment="1" applyProtection="1">
      <alignment horizontal="right" vertical="center"/>
      <protection hidden="1"/>
    </xf>
    <xf numFmtId="164" fontId="35" fillId="0" borderId="35" xfId="6" applyNumberFormat="1" applyFont="1" applyBorder="1" applyAlignment="1" applyProtection="1">
      <alignment horizontal="right" vertical="center"/>
      <protection hidden="1"/>
    </xf>
    <xf numFmtId="37" fontId="35" fillId="10" borderId="35" xfId="6" applyNumberFormat="1" applyFont="1" applyFill="1" applyBorder="1" applyAlignment="1" applyProtection="1">
      <alignment horizontal="right" vertical="center"/>
      <protection locked="0"/>
    </xf>
    <xf numFmtId="37" fontId="35" fillId="10" borderId="61" xfId="6" applyNumberFormat="1" applyFont="1" applyFill="1" applyBorder="1" applyAlignment="1" applyProtection="1">
      <alignment horizontal="right" vertical="center"/>
      <protection locked="0"/>
    </xf>
    <xf numFmtId="38" fontId="35" fillId="0" borderId="0" xfId="5" applyNumberFormat="1" applyFont="1" applyAlignment="1" applyProtection="1">
      <alignment horizontal="right" vertical="center"/>
      <protection locked="0"/>
    </xf>
    <xf numFmtId="164" fontId="35" fillId="0" borderId="34" xfId="1" applyNumberFormat="1" applyFont="1" applyFill="1" applyBorder="1" applyAlignment="1" applyProtection="1">
      <alignment horizontal="right" vertical="center"/>
      <protection locked="0"/>
    </xf>
    <xf numFmtId="37" fontId="35" fillId="10" borderId="62" xfId="5" applyNumberFormat="1" applyFont="1" applyFill="1" applyBorder="1" applyAlignment="1" applyProtection="1">
      <alignment horizontal="right" vertical="center"/>
      <protection locked="0"/>
    </xf>
    <xf numFmtId="37" fontId="35" fillId="10" borderId="61" xfId="3" applyNumberFormat="1" applyFont="1" applyFill="1" applyBorder="1" applyAlignment="1" applyProtection="1">
      <alignment horizontal="right" vertical="center"/>
      <protection locked="0"/>
    </xf>
    <xf numFmtId="0" fontId="27" fillId="0" borderId="38" xfId="3" applyFont="1" applyBorder="1" applyAlignment="1" applyProtection="1">
      <alignment horizontal="left" vertical="center"/>
      <protection hidden="1"/>
    </xf>
    <xf numFmtId="0" fontId="27" fillId="0" borderId="63" xfId="3" applyFont="1" applyBorder="1" applyAlignment="1" applyProtection="1">
      <alignment horizontal="left" vertical="center"/>
      <protection hidden="1"/>
    </xf>
    <xf numFmtId="0" fontId="27" fillId="0" borderId="64" xfId="3" applyFont="1" applyBorder="1" applyAlignment="1" applyProtection="1">
      <alignment horizontal="left" vertical="center"/>
      <protection hidden="1"/>
    </xf>
    <xf numFmtId="0" fontId="38" fillId="0" borderId="0" xfId="3" applyFont="1" applyAlignment="1" applyProtection="1">
      <alignment horizontal="right" vertical="center"/>
      <protection locked="0"/>
    </xf>
    <xf numFmtId="49" fontId="38" fillId="0" borderId="17" xfId="5" applyNumberFormat="1" applyFont="1" applyFill="1" applyBorder="1" applyAlignment="1" applyProtection="1">
      <alignment horizontal="center" vertical="center"/>
      <protection hidden="1"/>
    </xf>
    <xf numFmtId="164" fontId="27" fillId="0" borderId="49" xfId="1" applyNumberFormat="1" applyFont="1" applyFill="1" applyBorder="1" applyAlignment="1" applyProtection="1">
      <alignment horizontal="right" vertical="center"/>
      <protection hidden="1"/>
    </xf>
    <xf numFmtId="37" fontId="38" fillId="10" borderId="50" xfId="6" applyNumberFormat="1" applyFont="1" applyFill="1" applyBorder="1" applyAlignment="1" applyProtection="1">
      <alignment horizontal="right" vertical="center"/>
      <protection locked="0"/>
    </xf>
    <xf numFmtId="38" fontId="38" fillId="0" borderId="0" xfId="5" applyNumberFormat="1" applyFont="1" applyAlignment="1" applyProtection="1">
      <alignment horizontal="right" vertical="center"/>
      <protection locked="0"/>
    </xf>
    <xf numFmtId="37" fontId="31" fillId="0" borderId="49" xfId="6" applyNumberFormat="1" applyFont="1" applyFill="1" applyBorder="1" applyAlignment="1" applyProtection="1">
      <alignment horizontal="right" vertical="center"/>
    </xf>
    <xf numFmtId="37" fontId="38" fillId="10" borderId="4" xfId="5" applyNumberFormat="1" applyFont="1" applyFill="1" applyBorder="1" applyAlignment="1" applyProtection="1">
      <alignment horizontal="right" vertical="center"/>
      <protection locked="0"/>
    </xf>
    <xf numFmtId="0" fontId="30" fillId="0" borderId="2" xfId="3" applyFont="1" applyBorder="1" applyAlignment="1" applyProtection="1">
      <alignment horizontal="left" vertical="center"/>
      <protection locked="0"/>
    </xf>
    <xf numFmtId="0" fontId="30" fillId="0" borderId="0" xfId="3" applyFont="1" applyAlignment="1" applyProtection="1">
      <alignment horizontal="right" vertical="center"/>
      <protection locked="0"/>
    </xf>
    <xf numFmtId="38" fontId="30" fillId="0" borderId="0" xfId="5" applyNumberFormat="1" applyFont="1" applyFill="1" applyAlignment="1" applyProtection="1">
      <alignment horizontal="right" vertical="center"/>
      <protection locked="0"/>
    </xf>
    <xf numFmtId="38" fontId="30" fillId="0" borderId="0" xfId="5" applyNumberFormat="1" applyFont="1" applyAlignment="1" applyProtection="1">
      <alignment horizontal="right" vertical="center"/>
      <protection locked="0"/>
    </xf>
    <xf numFmtId="3" fontId="30" fillId="0" borderId="0" xfId="3" applyNumberFormat="1" applyFont="1" applyAlignment="1" applyProtection="1">
      <alignment horizontal="right" vertical="center"/>
      <protection locked="0"/>
    </xf>
    <xf numFmtId="0" fontId="33" fillId="0" borderId="0" xfId="3" applyFont="1" applyProtection="1">
      <protection locked="0"/>
    </xf>
    <xf numFmtId="37" fontId="30" fillId="0" borderId="0" xfId="3" applyNumberFormat="1" applyFont="1" applyProtection="1">
      <protection locked="0"/>
    </xf>
    <xf numFmtId="0" fontId="28" fillId="0" borderId="0" xfId="3" applyFont="1" applyAlignment="1" applyProtection="1">
      <alignment horizontal="left"/>
      <protection locked="0"/>
    </xf>
    <xf numFmtId="0" fontId="30" fillId="0" borderId="0" xfId="3" applyFont="1" applyAlignment="1" applyProtection="1">
      <alignment horizontal="left" vertical="center" wrapText="1"/>
      <protection locked="0"/>
    </xf>
    <xf numFmtId="14" fontId="28" fillId="0" borderId="21" xfId="3" quotePrefix="1" applyNumberFormat="1" applyFont="1" applyBorder="1" applyAlignment="1" applyProtection="1">
      <alignment horizontal="center"/>
      <protection locked="0"/>
    </xf>
    <xf numFmtId="15" fontId="30" fillId="0" borderId="0" xfId="3" applyNumberFormat="1" applyFont="1" applyAlignment="1" applyProtection="1">
      <alignment horizontal="right"/>
      <protection locked="0"/>
    </xf>
    <xf numFmtId="0" fontId="28" fillId="0" borderId="21" xfId="3" applyFont="1" applyBorder="1" applyAlignment="1" applyProtection="1">
      <alignment horizontal="center"/>
      <protection locked="0"/>
    </xf>
    <xf numFmtId="0" fontId="30" fillId="0" borderId="0" xfId="3" applyFont="1" applyAlignment="1" applyProtection="1">
      <alignment horizontal="right"/>
      <protection locked="0"/>
    </xf>
    <xf numFmtId="0" fontId="30" fillId="0" borderId="21" xfId="3" applyFont="1" applyBorder="1" applyProtection="1">
      <protection locked="0"/>
    </xf>
    <xf numFmtId="0" fontId="28" fillId="0" borderId="21" xfId="3" applyFont="1" applyBorder="1" applyAlignment="1" applyProtection="1">
      <alignment horizontal="left"/>
      <protection locked="0"/>
    </xf>
    <xf numFmtId="0" fontId="30" fillId="0" borderId="21" xfId="3" applyFont="1" applyBorder="1" applyAlignment="1" applyProtection="1">
      <alignment horizontal="left"/>
      <protection locked="0"/>
    </xf>
    <xf numFmtId="15" fontId="30" fillId="0" borderId="0" xfId="3" applyNumberFormat="1" applyFont="1" applyAlignment="1" applyProtection="1">
      <alignment horizontal="center"/>
      <protection locked="0"/>
    </xf>
    <xf numFmtId="3" fontId="30" fillId="0" borderId="0" xfId="4" applyNumberFormat="1" applyFont="1" applyAlignment="1" applyProtection="1">
      <alignment horizontal="center"/>
      <protection locked="0"/>
    </xf>
    <xf numFmtId="0" fontId="28" fillId="0" borderId="0" xfId="3" applyFont="1" applyAlignment="1" applyProtection="1">
      <alignment horizontal="left" vertical="center"/>
      <protection locked="0"/>
    </xf>
    <xf numFmtId="0" fontId="30" fillId="0" borderId="0" xfId="3" applyFont="1" applyAlignment="1" applyProtection="1">
      <alignment horizontal="center"/>
      <protection locked="0"/>
    </xf>
    <xf numFmtId="0" fontId="28" fillId="0" borderId="65" xfId="3" applyFont="1" applyBorder="1" applyAlignment="1" applyProtection="1">
      <alignment vertical="center"/>
      <protection locked="0"/>
    </xf>
    <xf numFmtId="0" fontId="30" fillId="0" borderId="65" xfId="3" applyFont="1" applyBorder="1" applyAlignment="1" applyProtection="1">
      <alignment horizontal="right" vertical="center"/>
      <protection locked="0"/>
    </xf>
    <xf numFmtId="0" fontId="30" fillId="0" borderId="65" xfId="3" applyFont="1" applyBorder="1" applyAlignment="1" applyProtection="1">
      <alignment horizontal="left" vertical="center" wrapText="1"/>
      <protection locked="0"/>
    </xf>
    <xf numFmtId="0" fontId="30" fillId="0" borderId="38" xfId="3" applyFont="1" applyBorder="1" applyAlignment="1" applyProtection="1">
      <alignment horizontal="center" vertical="center"/>
      <protection locked="0"/>
    </xf>
    <xf numFmtId="0" fontId="30" fillId="0" borderId="63" xfId="3" applyFont="1" applyBorder="1" applyAlignment="1" applyProtection="1">
      <alignment horizontal="center" vertical="center"/>
      <protection locked="0"/>
    </xf>
    <xf numFmtId="0" fontId="30" fillId="0" borderId="64" xfId="3" applyFont="1" applyBorder="1" applyAlignment="1" applyProtection="1">
      <alignment horizontal="center" vertical="center"/>
      <protection locked="0"/>
    </xf>
    <xf numFmtId="0" fontId="30" fillId="0" borderId="0" xfId="4" applyFont="1" applyAlignment="1" applyProtection="1">
      <alignment vertical="center"/>
      <protection locked="0"/>
    </xf>
    <xf numFmtId="0" fontId="30" fillId="0" borderId="38" xfId="3" applyFont="1" applyBorder="1" applyAlignment="1" applyProtection="1">
      <alignment vertical="center"/>
      <protection locked="0"/>
    </xf>
    <xf numFmtId="0" fontId="30" fillId="0" borderId="63" xfId="4" applyFont="1" applyBorder="1" applyProtection="1">
      <protection locked="0"/>
    </xf>
    <xf numFmtId="0" fontId="30" fillId="0" borderId="64" xfId="4" applyFont="1" applyBorder="1" applyProtection="1">
      <protection locked="0"/>
    </xf>
    <xf numFmtId="0" fontId="30" fillId="0" borderId="63" xfId="3" applyFont="1" applyBorder="1" applyAlignment="1" applyProtection="1">
      <alignment vertical="center"/>
      <protection locked="0"/>
    </xf>
    <xf numFmtId="0" fontId="30" fillId="0" borderId="64" xfId="3" applyFont="1" applyBorder="1" applyAlignment="1" applyProtection="1">
      <alignment vertical="center"/>
      <protection locked="0"/>
    </xf>
    <xf numFmtId="0" fontId="30" fillId="0" borderId="8" xfId="3" applyFont="1" applyBorder="1" applyAlignment="1" applyProtection="1">
      <alignment vertical="center"/>
      <protection locked="0"/>
    </xf>
    <xf numFmtId="0" fontId="30" fillId="0" borderId="9" xfId="3" applyFont="1" applyBorder="1" applyAlignment="1" applyProtection="1">
      <alignment vertical="center"/>
      <protection locked="0"/>
    </xf>
    <xf numFmtId="0" fontId="30" fillId="0" borderId="13" xfId="3" applyFont="1" applyBorder="1" applyAlignment="1" applyProtection="1">
      <alignment horizontal="left" vertical="center"/>
      <protection locked="0"/>
    </xf>
    <xf numFmtId="0" fontId="30" fillId="0" borderId="33" xfId="3" applyFont="1" applyBorder="1" applyAlignment="1" applyProtection="1">
      <alignment vertical="center"/>
      <protection locked="0"/>
    </xf>
    <xf numFmtId="0" fontId="30" fillId="0" borderId="8" xfId="3" applyFont="1" applyBorder="1" applyAlignment="1" applyProtection="1">
      <alignment horizontal="left" vertical="top" wrapText="1"/>
      <protection locked="0"/>
    </xf>
    <xf numFmtId="0" fontId="30" fillId="0" borderId="2" xfId="3" applyFont="1" applyBorder="1" applyAlignment="1" applyProtection="1">
      <alignment horizontal="left" vertical="top" wrapText="1"/>
      <protection locked="0"/>
    </xf>
    <xf numFmtId="0" fontId="30" fillId="0" borderId="9" xfId="3" applyFont="1" applyBorder="1" applyAlignment="1" applyProtection="1">
      <alignment horizontal="left" vertical="top" wrapText="1"/>
      <protection locked="0"/>
    </xf>
    <xf numFmtId="0" fontId="30" fillId="0" borderId="8" xfId="3" applyFont="1" applyBorder="1" applyAlignment="1" applyProtection="1">
      <alignment vertical="top" wrapText="1"/>
      <protection locked="0"/>
    </xf>
    <xf numFmtId="0" fontId="30" fillId="0" borderId="9" xfId="3" applyFont="1" applyBorder="1" applyAlignment="1" applyProtection="1">
      <alignment vertical="top" wrapText="1"/>
      <protection locked="0"/>
    </xf>
    <xf numFmtId="0" fontId="30" fillId="0" borderId="0" xfId="3" applyFont="1" applyAlignment="1" applyProtection="1">
      <alignment vertical="top" wrapText="1"/>
      <protection locked="0"/>
    </xf>
    <xf numFmtId="0" fontId="30" fillId="0" borderId="13" xfId="3" applyFont="1" applyBorder="1" applyAlignment="1" applyProtection="1">
      <alignment vertical="center"/>
      <protection locked="0"/>
    </xf>
    <xf numFmtId="0" fontId="30" fillId="0" borderId="58" xfId="3" applyFont="1" applyBorder="1" applyAlignment="1" applyProtection="1">
      <alignment horizontal="left" vertical="center" wrapText="1"/>
      <protection locked="0"/>
    </xf>
    <xf numFmtId="0" fontId="30" fillId="0" borderId="21" xfId="3" applyFont="1" applyBorder="1" applyAlignment="1" applyProtection="1">
      <alignment horizontal="left" vertical="center" wrapText="1"/>
      <protection locked="0"/>
    </xf>
    <xf numFmtId="0" fontId="30" fillId="0" borderId="66" xfId="3" applyFont="1" applyBorder="1" applyAlignment="1" applyProtection="1">
      <alignment horizontal="left" vertical="center" wrapText="1"/>
      <protection locked="0"/>
    </xf>
    <xf numFmtId="0" fontId="30" fillId="0" borderId="58" xfId="3" applyFont="1" applyBorder="1" applyAlignment="1" applyProtection="1">
      <alignment vertical="center"/>
      <protection locked="0"/>
    </xf>
    <xf numFmtId="0" fontId="30" fillId="0" borderId="66" xfId="3" applyFont="1" applyBorder="1" applyAlignment="1" applyProtection="1">
      <alignment vertical="center"/>
      <protection locked="0"/>
    </xf>
    <xf numFmtId="0" fontId="30" fillId="0" borderId="13" xfId="3" applyFont="1" applyBorder="1" applyProtection="1">
      <protection locked="0"/>
    </xf>
    <xf numFmtId="3" fontId="30" fillId="0" borderId="33" xfId="3" applyNumberFormat="1" applyFont="1" applyBorder="1" applyAlignment="1" applyProtection="1">
      <alignment horizontal="center"/>
      <protection locked="0"/>
    </xf>
    <xf numFmtId="0" fontId="30" fillId="0" borderId="14" xfId="3" applyFont="1" applyBorder="1" applyAlignment="1" applyProtection="1">
      <alignment vertical="center"/>
      <protection locked="0"/>
    </xf>
    <xf numFmtId="0" fontId="30" fillId="0" borderId="15" xfId="4" applyFont="1" applyBorder="1" applyProtection="1">
      <protection locked="0"/>
    </xf>
    <xf numFmtId="0" fontId="30" fillId="0" borderId="15" xfId="3" applyFont="1" applyBorder="1" applyAlignment="1" applyProtection="1">
      <alignment vertical="center"/>
      <protection locked="0"/>
    </xf>
    <xf numFmtId="0" fontId="30" fillId="0" borderId="16" xfId="3" applyFont="1" applyBorder="1" applyAlignment="1" applyProtection="1">
      <alignment vertical="center"/>
      <protection locked="0"/>
    </xf>
    <xf numFmtId="0" fontId="30" fillId="0" borderId="13" xfId="3" applyFont="1" applyBorder="1" applyAlignment="1" applyProtection="1">
      <alignment horizontal="left" vertical="top" wrapText="1"/>
      <protection locked="0"/>
    </xf>
    <xf numFmtId="0" fontId="30" fillId="0" borderId="0" xfId="3" applyFont="1" applyAlignment="1" applyProtection="1">
      <alignment horizontal="left" vertical="top" wrapText="1"/>
      <protection locked="0"/>
    </xf>
    <xf numFmtId="0" fontId="30" fillId="0" borderId="33" xfId="3" applyFont="1" applyBorder="1" applyAlignment="1" applyProtection="1">
      <alignment horizontal="left" vertical="top" wrapText="1"/>
      <protection locked="0"/>
    </xf>
    <xf numFmtId="0" fontId="30" fillId="0" borderId="7" xfId="4" applyFont="1" applyBorder="1" applyProtection="1">
      <protection locked="0"/>
    </xf>
    <xf numFmtId="0" fontId="30" fillId="0" borderId="67" xfId="4" applyFont="1" applyBorder="1" applyProtection="1">
      <protection locked="0"/>
    </xf>
    <xf numFmtId="3" fontId="30" fillId="0" borderId="33" xfId="3" applyNumberFormat="1" applyFont="1" applyBorder="1" applyAlignment="1" applyProtection="1">
      <alignment horizontal="center" vertical="center"/>
      <protection locked="0"/>
    </xf>
    <xf numFmtId="3" fontId="30" fillId="0" borderId="0" xfId="3" applyNumberFormat="1" applyFont="1" applyAlignment="1" applyProtection="1">
      <alignment horizontal="center" vertical="center"/>
      <protection locked="0"/>
    </xf>
    <xf numFmtId="37" fontId="30" fillId="0" borderId="33" xfId="3" applyNumberFormat="1" applyFont="1" applyBorder="1" applyAlignment="1" applyProtection="1">
      <alignment horizontal="center" vertical="center"/>
      <protection locked="0"/>
    </xf>
    <xf numFmtId="3" fontId="30" fillId="0" borderId="66" xfId="3" applyNumberFormat="1" applyFont="1" applyBorder="1" applyAlignment="1" applyProtection="1">
      <alignment horizontal="center" vertical="center"/>
      <protection locked="0"/>
    </xf>
    <xf numFmtId="3" fontId="30" fillId="0" borderId="68" xfId="3" applyNumberFormat="1" applyFont="1" applyBorder="1" applyAlignment="1" applyProtection="1">
      <alignment horizontal="center" vertical="center"/>
      <protection locked="0"/>
    </xf>
    <xf numFmtId="3" fontId="30" fillId="0" borderId="15" xfId="3" applyNumberFormat="1" applyFont="1" applyBorder="1" applyAlignment="1" applyProtection="1">
      <alignment horizontal="center" vertical="center"/>
      <protection locked="0"/>
    </xf>
    <xf numFmtId="3" fontId="30" fillId="0" borderId="16" xfId="3" applyNumberFormat="1" applyFont="1" applyBorder="1" applyAlignment="1" applyProtection="1">
      <alignment horizontal="center" vertical="center"/>
      <protection locked="0"/>
    </xf>
  </cellXfs>
  <cellStyles count="7">
    <cellStyle name="Comma" xfId="1" builtinId="3"/>
    <cellStyle name="Comma 3 2" xfId="6" xr:uid="{1925B8A2-2592-405B-9D51-EE97C4EC9CA4}"/>
    <cellStyle name="Comma_Sheet1" xfId="5" xr:uid="{2FCA4C5D-EC39-428C-A6C7-7491FA9AE6E9}"/>
    <cellStyle name="Normal" xfId="0" builtinId="0"/>
    <cellStyle name="Normal 2 3" xfId="2" xr:uid="{D0A645EC-B4C2-4A06-9B5E-59ED8EFD6E05}"/>
    <cellStyle name="Normal 3 2" xfId="4" xr:uid="{EE8C629B-4404-4F88-ACEE-DA9FA2956A39}"/>
    <cellStyle name="Normal_Sheet1" xfId="3" xr:uid="{6E0260A9-D861-443A-B7E2-5A85E3F5B5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390793</xdr:colOff>
      <xdr:row>1</xdr:row>
      <xdr:rowOff>0</xdr:rowOff>
    </xdr:from>
    <xdr:to>
      <xdr:col>6</xdr:col>
      <xdr:colOff>247649</xdr:colOff>
      <xdr:row>5</xdr:row>
      <xdr:rowOff>179842</xdr:rowOff>
    </xdr:to>
    <xdr:pic>
      <xdr:nvPicPr>
        <xdr:cNvPr id="2" name="Picture 1" descr="The Nigeria Coat Of Arms Designer, Symbols and their Meanings">
          <a:extLst>
            <a:ext uri="{FF2B5EF4-FFF2-40B4-BE49-F238E27FC236}">
              <a16:creationId xmlns:a16="http://schemas.microsoft.com/office/drawing/2014/main" id="{E2E5EA27-8CC4-46A2-99D6-1BA56E88D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5093" y="184150"/>
          <a:ext cx="1177656" cy="916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10</xdr:col>
          <xdr:colOff>292100</xdr:colOff>
          <xdr:row>12</xdr:row>
          <xdr:rowOff>76200</xdr:rowOff>
        </xdr:from>
        <xdr:to>
          <xdr:col>12</xdr:col>
          <xdr:colOff>438150</xdr:colOff>
          <xdr:row>14</xdr:row>
          <xdr:rowOff>120650</xdr:rowOff>
        </xdr:to>
        <xdr:sp macro="" textlink="">
          <xdr:nvSpPr>
            <xdr:cNvPr id="2049" name="Button 1" hidden="1">
              <a:extLst>
                <a:ext uri="{63B3BB69-23CF-44E3-9099-C40C66FF867C}">
                  <a14:compatExt spid="_x0000_s2049"/>
                </a:ext>
                <a:ext uri="{FF2B5EF4-FFF2-40B4-BE49-F238E27FC236}">
                  <a16:creationId xmlns:a16="http://schemas.microsoft.com/office/drawing/2014/main" id="{D30859C3-2ABF-4184-8F56-D5EDB3B96819}"/>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Goto Workstation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317500</xdr:colOff>
          <xdr:row>16</xdr:row>
          <xdr:rowOff>12700</xdr:rowOff>
        </xdr:from>
        <xdr:to>
          <xdr:col>12</xdr:col>
          <xdr:colOff>476250</xdr:colOff>
          <xdr:row>18</xdr:row>
          <xdr:rowOff>139700</xdr:rowOff>
        </xdr:to>
        <xdr:sp macro="" textlink="">
          <xdr:nvSpPr>
            <xdr:cNvPr id="2050" name="Button 2" hidden="1">
              <a:extLst>
                <a:ext uri="{63B3BB69-23CF-44E3-9099-C40C66FF867C}">
                  <a14:compatExt spid="_x0000_s2050"/>
                </a:ext>
                <a:ext uri="{FF2B5EF4-FFF2-40B4-BE49-F238E27FC236}">
                  <a16:creationId xmlns:a16="http://schemas.microsoft.com/office/drawing/2014/main" id="{D347CD49-8827-4E91-8529-8C277BC6304F}"/>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Produce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330200</xdr:colOff>
          <xdr:row>19</xdr:row>
          <xdr:rowOff>95250</xdr:rowOff>
        </xdr:from>
        <xdr:to>
          <xdr:col>12</xdr:col>
          <xdr:colOff>514350</xdr:colOff>
          <xdr:row>22</xdr:row>
          <xdr:rowOff>165100</xdr:rowOff>
        </xdr:to>
        <xdr:sp macro="" textlink="">
          <xdr:nvSpPr>
            <xdr:cNvPr id="2051" name="Button 3" hidden="1">
              <a:extLst>
                <a:ext uri="{63B3BB69-23CF-44E3-9099-C40C66FF867C}">
                  <a14:compatExt spid="_x0000_s2051"/>
                </a:ext>
                <a:ext uri="{FF2B5EF4-FFF2-40B4-BE49-F238E27FC236}">
                  <a16:creationId xmlns:a16="http://schemas.microsoft.com/office/drawing/2014/main" id="{4803F823-0CF7-41F2-BC15-FF5D0CFEC1DD}"/>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Stamp and Sign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336550</xdr:colOff>
          <xdr:row>23</xdr:row>
          <xdr:rowOff>120650</xdr:rowOff>
        </xdr:from>
        <xdr:to>
          <xdr:col>12</xdr:col>
          <xdr:colOff>520700</xdr:colOff>
          <xdr:row>25</xdr:row>
          <xdr:rowOff>177800</xdr:rowOff>
        </xdr:to>
        <xdr:sp macro="" textlink="">
          <xdr:nvSpPr>
            <xdr:cNvPr id="2052" name="Button 4" hidden="1">
              <a:extLst>
                <a:ext uri="{63B3BB69-23CF-44E3-9099-C40C66FF867C}">
                  <a14:compatExt spid="_x0000_s2052"/>
                </a:ext>
                <a:ext uri="{FF2B5EF4-FFF2-40B4-BE49-F238E27FC236}">
                  <a16:creationId xmlns:a16="http://schemas.microsoft.com/office/drawing/2014/main" id="{28D53FE5-D1CC-4832-8638-E64A1E95760F}"/>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View Stamp &amp; Sign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400050</xdr:colOff>
          <xdr:row>26</xdr:row>
          <xdr:rowOff>133350</xdr:rowOff>
        </xdr:from>
        <xdr:to>
          <xdr:col>12</xdr:col>
          <xdr:colOff>558800</xdr:colOff>
          <xdr:row>28</xdr:row>
          <xdr:rowOff>31750</xdr:rowOff>
        </xdr:to>
        <xdr:sp macro="" textlink="">
          <xdr:nvSpPr>
            <xdr:cNvPr id="2053" name="Button 5" hidden="1">
              <a:extLst>
                <a:ext uri="{63B3BB69-23CF-44E3-9099-C40C66FF867C}">
                  <a14:compatExt spid="_x0000_s2053"/>
                </a:ext>
                <a:ext uri="{FF2B5EF4-FFF2-40B4-BE49-F238E27FC236}">
                  <a16:creationId xmlns:a16="http://schemas.microsoft.com/office/drawing/2014/main" id="{260606E3-FCAA-4AB7-B2A4-BBB15C918529}"/>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Reporting FACE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381000</xdr:colOff>
          <xdr:row>28</xdr:row>
          <xdr:rowOff>171450</xdr:rowOff>
        </xdr:from>
        <xdr:to>
          <xdr:col>12</xdr:col>
          <xdr:colOff>596900</xdr:colOff>
          <xdr:row>29</xdr:row>
          <xdr:rowOff>298450</xdr:rowOff>
        </xdr:to>
        <xdr:sp macro="" textlink="">
          <xdr:nvSpPr>
            <xdr:cNvPr id="2054" name="Button 6" hidden="1">
              <a:extLst>
                <a:ext uri="{63B3BB69-23CF-44E3-9099-C40C66FF867C}">
                  <a14:compatExt spid="_x0000_s2054"/>
                </a:ext>
                <a:ext uri="{FF2B5EF4-FFF2-40B4-BE49-F238E27FC236}">
                  <a16:creationId xmlns:a16="http://schemas.microsoft.com/office/drawing/2014/main" id="{C01E3631-750C-4EAF-9EF5-D293A173F5DE}"/>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Annex IV</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762000</xdr:colOff>
          <xdr:row>2</xdr:row>
          <xdr:rowOff>76200</xdr:rowOff>
        </xdr:from>
        <xdr:to>
          <xdr:col>14</xdr:col>
          <xdr:colOff>266700</xdr:colOff>
          <xdr:row>4</xdr:row>
          <xdr:rowOff>158750</xdr:rowOff>
        </xdr:to>
        <xdr:sp macro="" textlink="">
          <xdr:nvSpPr>
            <xdr:cNvPr id="3073" name="Button 1" hidden="1">
              <a:extLst>
                <a:ext uri="{63B3BB69-23CF-44E3-9099-C40C66FF867C}">
                  <a14:compatExt spid="_x0000_s3073"/>
                </a:ext>
                <a:ext uri="{FF2B5EF4-FFF2-40B4-BE49-F238E27FC236}">
                  <a16:creationId xmlns:a16="http://schemas.microsoft.com/office/drawing/2014/main" id="{86D764A8-E9A6-4368-9158-7FFE0F55CE9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Goto Workstation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781050</xdr:colOff>
          <xdr:row>4</xdr:row>
          <xdr:rowOff>222250</xdr:rowOff>
        </xdr:from>
        <xdr:to>
          <xdr:col>14</xdr:col>
          <xdr:colOff>222250</xdr:colOff>
          <xdr:row>7</xdr:row>
          <xdr:rowOff>31750</xdr:rowOff>
        </xdr:to>
        <xdr:sp macro="" textlink="">
          <xdr:nvSpPr>
            <xdr:cNvPr id="3074" name="Button 2" hidden="1">
              <a:extLst>
                <a:ext uri="{63B3BB69-23CF-44E3-9099-C40C66FF867C}">
                  <a14:compatExt spid="_x0000_s3074"/>
                </a:ext>
                <a:ext uri="{FF2B5EF4-FFF2-40B4-BE49-F238E27FC236}">
                  <a16:creationId xmlns:a16="http://schemas.microsoft.com/office/drawing/2014/main" id="{E756B076-95AE-430C-AA8C-4092ACC3186E}"/>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Reporting CL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774700</xdr:colOff>
          <xdr:row>0</xdr:row>
          <xdr:rowOff>127000</xdr:rowOff>
        </xdr:from>
        <xdr:to>
          <xdr:col>14</xdr:col>
          <xdr:colOff>190500</xdr:colOff>
          <xdr:row>1</xdr:row>
          <xdr:rowOff>304800</xdr:rowOff>
        </xdr:to>
        <xdr:sp macro="" textlink="">
          <xdr:nvSpPr>
            <xdr:cNvPr id="3075" name="Button 3" hidden="1">
              <a:extLst>
                <a:ext uri="{63B3BB69-23CF-44E3-9099-C40C66FF867C}">
                  <a14:compatExt spid="_x0000_s3075"/>
                </a:ext>
                <a:ext uri="{FF2B5EF4-FFF2-40B4-BE49-F238E27FC236}">
                  <a16:creationId xmlns:a16="http://schemas.microsoft.com/office/drawing/2014/main" id="{0A010653-4DCD-4B8A-8824-93B6BFB898DA}"/>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Annex IV</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717550</xdr:colOff>
          <xdr:row>0</xdr:row>
          <xdr:rowOff>101600</xdr:rowOff>
        </xdr:from>
        <xdr:to>
          <xdr:col>5</xdr:col>
          <xdr:colOff>869950</xdr:colOff>
          <xdr:row>0</xdr:row>
          <xdr:rowOff>533400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5DC04219-65F6-45E8-8247-6D34816209AA}"/>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Reporting FACE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133350</xdr:colOff>
          <xdr:row>0</xdr:row>
          <xdr:rowOff>107950</xdr:rowOff>
        </xdr:from>
        <xdr:to>
          <xdr:col>3</xdr:col>
          <xdr:colOff>82550</xdr:colOff>
          <xdr:row>0</xdr:row>
          <xdr:rowOff>539750</xdr:rowOff>
        </xdr:to>
        <xdr:sp macro="" textlink="">
          <xdr:nvSpPr>
            <xdr:cNvPr id="1026" name="Button 2" hidden="1">
              <a:extLst>
                <a:ext uri="{63B3BB69-23CF-44E3-9099-C40C66FF867C}">
                  <a14:compatExt spid="_x0000_s1026"/>
                </a:ext>
                <a:ext uri="{FF2B5EF4-FFF2-40B4-BE49-F238E27FC236}">
                  <a16:creationId xmlns:a16="http://schemas.microsoft.com/office/drawing/2014/main" id="{5868A626-AC58-4EDE-AF9A-A0F6CEA7817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Reporting CL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228600</xdr:colOff>
          <xdr:row>0</xdr:row>
          <xdr:rowOff>82550</xdr:rowOff>
        </xdr:from>
        <xdr:to>
          <xdr:col>4</xdr:col>
          <xdr:colOff>241300</xdr:colOff>
          <xdr:row>0</xdr:row>
          <xdr:rowOff>596900</xdr:rowOff>
        </xdr:to>
        <xdr:sp macro="" textlink="">
          <xdr:nvSpPr>
            <xdr:cNvPr id="1027" name="Button 3" hidden="1">
              <a:extLst>
                <a:ext uri="{63B3BB69-23CF-44E3-9099-C40C66FF867C}">
                  <a14:compatExt spid="_x0000_s1027"/>
                </a:ext>
                <a:ext uri="{FF2B5EF4-FFF2-40B4-BE49-F238E27FC236}">
                  <a16:creationId xmlns:a16="http://schemas.microsoft.com/office/drawing/2014/main" id="{238A9980-721A-4BAC-88F0-640F10B491A7}"/>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Goto Workstation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996950</xdr:colOff>
          <xdr:row>0</xdr:row>
          <xdr:rowOff>114300</xdr:rowOff>
        </xdr:from>
        <xdr:to>
          <xdr:col>6</xdr:col>
          <xdr:colOff>1250950</xdr:colOff>
          <xdr:row>0</xdr:row>
          <xdr:rowOff>584200</xdr:rowOff>
        </xdr:to>
        <xdr:sp macro="" textlink="">
          <xdr:nvSpPr>
            <xdr:cNvPr id="1028" name="Button 4" hidden="1">
              <a:extLst>
                <a:ext uri="{63B3BB69-23CF-44E3-9099-C40C66FF867C}">
                  <a14:compatExt spid="_x0000_s1028"/>
                </a:ext>
                <a:ext uri="{FF2B5EF4-FFF2-40B4-BE49-F238E27FC236}">
                  <a16:creationId xmlns:a16="http://schemas.microsoft.com/office/drawing/2014/main" id="{3BBEBFB8-37EC-4037-B36D-95F4D4657637}"/>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NG" sz="1100" b="0" i="0" u="none" strike="noStrike" baseline="0">
                  <a:solidFill>
                    <a:srgbClr val="000000"/>
                  </a:solidFill>
                  <a:latin typeface="Corbel"/>
                </a:rPr>
                <a:t>Extract Page</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istrator\Desktop\DD\excel%20template.xlsm" TargetMode="External"/><Relationship Id="rId1" Type="http://schemas.openxmlformats.org/officeDocument/2006/relationships/externalLinkPath" Target="excel%20template.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IP%20eReporting%20Module%20(final%20version).xlsm" TargetMode="External"/><Relationship Id="rId2" Type="http://schemas.openxmlformats.org/officeDocument/2006/relationships/externalLinkPath" Target="file:///C:\Users\Administrator\Downloads\IP%20eReporting%20Module%20(final%20version).xlsm" TargetMode="External"/><Relationship Id="rId1" Type="http://schemas.openxmlformats.org/officeDocument/2006/relationships/externalLinkPath" Target="/Users/Administrator/Downloads/IP%20eReporting%20Module%20(final%20versio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
      <sheetName val="b"/>
      <sheetName val="c"/>
      <sheetName val="Sheet4"/>
    </sheetNames>
    <definedNames>
      <definedName name="ExtractFACE"/>
      <definedName name="GotoDatabase1"/>
      <definedName name="Gotoliquidcoverletter"/>
      <definedName name="Liquidateface"/>
    </definedNames>
    <sheetDataSet>
      <sheetData sheetId="0"/>
      <sheetData sheetId="1"/>
      <sheetData sheetId="2">
        <row r="2">
          <cell r="E2" t="str">
            <v>ANNEX 4 :  ITEMIZED COST ESTIMATE/B U D G E T FOR GAVI HSS ACTIVITIES (APRIL TO JUNE 2024)</v>
          </cell>
        </row>
        <row r="8">
          <cell r="B8" t="str">
            <v>.A.</v>
          </cell>
          <cell r="C8">
            <v>2280000</v>
          </cell>
          <cell r="D8">
            <v>2440000</v>
          </cell>
          <cell r="E8" t="str">
            <v>Leadership, Management and Coordination</v>
          </cell>
        </row>
        <row r="9">
          <cell r="B9">
            <v>1</v>
          </cell>
          <cell r="E9" t="str">
            <v>Quarterly STF Review Meeting</v>
          </cell>
        </row>
        <row r="10">
          <cell r="B10" t="str">
            <v>i</v>
          </cell>
          <cell r="E10" t="str">
            <v>Hall hire</v>
          </cell>
        </row>
        <row r="11">
          <cell r="B11" t="str">
            <v>ii</v>
          </cell>
          <cell r="E11" t="str">
            <v>2 tea breaks</v>
          </cell>
        </row>
        <row r="12">
          <cell r="B12" t="str">
            <v>iii</v>
          </cell>
          <cell r="E12" t="str">
            <v>Lunch</v>
          </cell>
        </row>
        <row r="13">
          <cell r="B13" t="str">
            <v>iv</v>
          </cell>
          <cell r="E13" t="str">
            <v>Stationeries</v>
          </cell>
        </row>
        <row r="14">
          <cell r="B14" t="str">
            <v>v</v>
          </cell>
          <cell r="E14" t="str">
            <v>Transport</v>
          </cell>
        </row>
        <row r="15">
          <cell r="E15" t="str">
            <v>Sub total</v>
          </cell>
        </row>
        <row r="16">
          <cell r="B16">
            <v>2</v>
          </cell>
          <cell r="E16" t="str">
            <v>MOCK PHC Leadership Challenge</v>
          </cell>
        </row>
        <row r="17">
          <cell r="B17" t="str">
            <v>i</v>
          </cell>
          <cell r="E17" t="str">
            <v>Hall hire</v>
          </cell>
        </row>
        <row r="18">
          <cell r="B18" t="str">
            <v>ii</v>
          </cell>
          <cell r="E18" t="str">
            <v>DSA</v>
          </cell>
        </row>
        <row r="19">
          <cell r="B19" t="str">
            <v>iii</v>
          </cell>
          <cell r="E19" t="str">
            <v>2 tea breaks</v>
          </cell>
        </row>
        <row r="20">
          <cell r="B20" t="str">
            <v>iv</v>
          </cell>
          <cell r="E20" t="str">
            <v>Writing materials</v>
          </cell>
        </row>
        <row r="21">
          <cell r="B21" t="str">
            <v>v</v>
          </cell>
          <cell r="E21" t="str">
            <v>Transport</v>
          </cell>
        </row>
        <row r="22">
          <cell r="E22" t="str">
            <v>Sub total</v>
          </cell>
        </row>
        <row r="23">
          <cell r="B23">
            <v>3</v>
          </cell>
        </row>
        <row r="24">
          <cell r="B24" t="str">
            <v>i</v>
          </cell>
        </row>
        <row r="25">
          <cell r="B25" t="str">
            <v>ii</v>
          </cell>
        </row>
        <row r="26">
          <cell r="B26" t="str">
            <v>iii</v>
          </cell>
        </row>
        <row r="27">
          <cell r="B27" t="str">
            <v>iv</v>
          </cell>
        </row>
        <row r="28">
          <cell r="B28" t="str">
            <v>v</v>
          </cell>
        </row>
        <row r="29">
          <cell r="E29" t="str">
            <v>Sub total</v>
          </cell>
        </row>
        <row r="30">
          <cell r="B30">
            <v>4</v>
          </cell>
        </row>
        <row r="31">
          <cell r="B31" t="str">
            <v>i</v>
          </cell>
        </row>
        <row r="32">
          <cell r="B32" t="str">
            <v>ii</v>
          </cell>
        </row>
        <row r="33">
          <cell r="B33" t="str">
            <v>iii</v>
          </cell>
        </row>
        <row r="34">
          <cell r="B34" t="str">
            <v>iv</v>
          </cell>
        </row>
        <row r="35">
          <cell r="B35" t="str">
            <v>v</v>
          </cell>
        </row>
        <row r="36">
          <cell r="E36" t="str">
            <v>Sub total</v>
          </cell>
        </row>
        <row r="37">
          <cell r="B37">
            <v>5</v>
          </cell>
        </row>
        <row r="38">
          <cell r="B38" t="str">
            <v>i</v>
          </cell>
        </row>
        <row r="39">
          <cell r="B39" t="str">
            <v>ii</v>
          </cell>
        </row>
        <row r="40">
          <cell r="B40" t="str">
            <v>iii</v>
          </cell>
        </row>
        <row r="41">
          <cell r="B41" t="str">
            <v>iv</v>
          </cell>
        </row>
        <row r="42">
          <cell r="B42" t="str">
            <v>v</v>
          </cell>
        </row>
        <row r="43">
          <cell r="E43" t="str">
            <v>Sub total</v>
          </cell>
        </row>
        <row r="44">
          <cell r="B44">
            <v>6</v>
          </cell>
        </row>
        <row r="45">
          <cell r="B45" t="str">
            <v>i</v>
          </cell>
        </row>
        <row r="46">
          <cell r="B46" t="str">
            <v>ii</v>
          </cell>
        </row>
        <row r="47">
          <cell r="B47" t="str">
            <v>iii</v>
          </cell>
        </row>
        <row r="48">
          <cell r="B48" t="str">
            <v>iv</v>
          </cell>
        </row>
        <row r="49">
          <cell r="B49" t="str">
            <v>v</v>
          </cell>
        </row>
        <row r="50">
          <cell r="E50" t="str">
            <v>Sub total</v>
          </cell>
        </row>
        <row r="51">
          <cell r="B51">
            <v>7</v>
          </cell>
        </row>
        <row r="52">
          <cell r="B52" t="str">
            <v>i</v>
          </cell>
        </row>
        <row r="53">
          <cell r="B53" t="str">
            <v>ii</v>
          </cell>
        </row>
        <row r="54">
          <cell r="B54" t="str">
            <v>iii</v>
          </cell>
        </row>
        <row r="55">
          <cell r="B55" t="str">
            <v>iv</v>
          </cell>
        </row>
        <row r="56">
          <cell r="B56" t="str">
            <v>v</v>
          </cell>
        </row>
        <row r="57">
          <cell r="E57" t="str">
            <v>Sub total</v>
          </cell>
        </row>
        <row r="58">
          <cell r="B58">
            <v>8</v>
          </cell>
        </row>
        <row r="59">
          <cell r="B59" t="str">
            <v>i</v>
          </cell>
        </row>
        <row r="60">
          <cell r="B60" t="str">
            <v>ii</v>
          </cell>
        </row>
        <row r="61">
          <cell r="B61" t="str">
            <v>iii</v>
          </cell>
        </row>
        <row r="62">
          <cell r="B62" t="str">
            <v>iv</v>
          </cell>
        </row>
        <row r="63">
          <cell r="B63" t="str">
            <v>v</v>
          </cell>
        </row>
        <row r="64">
          <cell r="E64" t="str">
            <v>Sub total</v>
          </cell>
        </row>
        <row r="65">
          <cell r="B65">
            <v>9</v>
          </cell>
        </row>
        <row r="66">
          <cell r="B66" t="str">
            <v>i</v>
          </cell>
        </row>
        <row r="67">
          <cell r="B67" t="str">
            <v>ii</v>
          </cell>
        </row>
        <row r="68">
          <cell r="B68" t="str">
            <v>iii</v>
          </cell>
        </row>
        <row r="69">
          <cell r="B69" t="str">
            <v>iv</v>
          </cell>
        </row>
        <row r="70">
          <cell r="B70" t="str">
            <v>v</v>
          </cell>
        </row>
        <row r="71">
          <cell r="E71" t="str">
            <v>Sub total</v>
          </cell>
        </row>
        <row r="72">
          <cell r="B72">
            <v>10</v>
          </cell>
        </row>
        <row r="73">
          <cell r="B73" t="str">
            <v>i</v>
          </cell>
        </row>
        <row r="74">
          <cell r="B74" t="str">
            <v>ii</v>
          </cell>
        </row>
        <row r="75">
          <cell r="B75" t="str">
            <v>iii</v>
          </cell>
        </row>
        <row r="76">
          <cell r="B76" t="str">
            <v>iv</v>
          </cell>
        </row>
        <row r="77">
          <cell r="B77" t="str">
            <v>v</v>
          </cell>
        </row>
        <row r="78">
          <cell r="E78" t="str">
            <v>Sub total</v>
          </cell>
        </row>
        <row r="79">
          <cell r="E79" t="str">
            <v>Sub Total Leadership, Management and Coordination</v>
          </cell>
        </row>
        <row r="80">
          <cell r="B80" t="str">
            <v>.B.</v>
          </cell>
          <cell r="C80">
            <v>21280000</v>
          </cell>
          <cell r="D80">
            <v>23200000</v>
          </cell>
          <cell r="E80" t="str">
            <v>Demand Generation</v>
          </cell>
        </row>
        <row r="81">
          <cell r="B81">
            <v>1</v>
          </cell>
          <cell r="E81" t="str">
            <v>Quarterly visit to Emirate Council</v>
          </cell>
        </row>
        <row r="82">
          <cell r="B82" t="str">
            <v>i</v>
          </cell>
          <cell r="E82" t="str">
            <v>Transport for the District heads</v>
          </cell>
        </row>
        <row r="83">
          <cell r="B83" t="str">
            <v>ii</v>
          </cell>
          <cell r="E83" t="str">
            <v>Lunch</v>
          </cell>
        </row>
        <row r="84">
          <cell r="B84" t="str">
            <v>iii</v>
          </cell>
          <cell r="E84" t="str">
            <v>1 Tea break</v>
          </cell>
        </row>
        <row r="85">
          <cell r="B85" t="str">
            <v>iv</v>
          </cell>
          <cell r="E85" t="str">
            <v>Transport for State Teams</v>
          </cell>
        </row>
        <row r="86">
          <cell r="B86" t="str">
            <v>v</v>
          </cell>
        </row>
        <row r="87">
          <cell r="E87" t="str">
            <v>Subtotal</v>
          </cell>
        </row>
        <row r="88">
          <cell r="B88">
            <v>1</v>
          </cell>
          <cell r="E88" t="str">
            <v>Quarterlty review meeting</v>
          </cell>
        </row>
        <row r="89">
          <cell r="B89" t="str">
            <v>i</v>
          </cell>
        </row>
        <row r="90">
          <cell r="B90" t="str">
            <v>ii</v>
          </cell>
        </row>
        <row r="91">
          <cell r="B91" t="str">
            <v>iii</v>
          </cell>
        </row>
        <row r="92">
          <cell r="B92" t="str">
            <v>iv</v>
          </cell>
        </row>
        <row r="93">
          <cell r="B93" t="str">
            <v>v</v>
          </cell>
        </row>
        <row r="94">
          <cell r="E94" t="str">
            <v>Sub total</v>
          </cell>
        </row>
        <row r="95">
          <cell r="B95">
            <v>2</v>
          </cell>
        </row>
        <row r="96">
          <cell r="B96" t="str">
            <v>i</v>
          </cell>
        </row>
        <row r="97">
          <cell r="B97" t="str">
            <v>ii</v>
          </cell>
        </row>
        <row r="98">
          <cell r="B98" t="str">
            <v>iii</v>
          </cell>
        </row>
        <row r="99">
          <cell r="B99" t="str">
            <v>iv</v>
          </cell>
        </row>
        <row r="100">
          <cell r="E100" t="str">
            <v>Sub total</v>
          </cell>
        </row>
        <row r="101">
          <cell r="E101" t="str">
            <v>Sub Total Demand Generation</v>
          </cell>
        </row>
        <row r="102">
          <cell r="B102" t="str">
            <v>.C.</v>
          </cell>
          <cell r="C102">
            <v>2640000</v>
          </cell>
          <cell r="D102">
            <v>2640000</v>
          </cell>
          <cell r="E102" t="str">
            <v>Human Resource for Health</v>
          </cell>
        </row>
        <row r="103">
          <cell r="B103">
            <v>1</v>
          </cell>
        </row>
        <row r="104">
          <cell r="B104" t="str">
            <v>i</v>
          </cell>
        </row>
        <row r="105">
          <cell r="B105" t="str">
            <v>ii</v>
          </cell>
        </row>
        <row r="106">
          <cell r="B106" t="str">
            <v>iii</v>
          </cell>
        </row>
        <row r="107">
          <cell r="B107" t="str">
            <v>iv</v>
          </cell>
        </row>
        <row r="108">
          <cell r="B108" t="str">
            <v>v</v>
          </cell>
        </row>
        <row r="109">
          <cell r="E109" t="str">
            <v xml:space="preserve">Sub Total </v>
          </cell>
        </row>
        <row r="110">
          <cell r="B110">
            <v>2</v>
          </cell>
        </row>
        <row r="111">
          <cell r="B111" t="str">
            <v>i</v>
          </cell>
        </row>
        <row r="112">
          <cell r="B112" t="str">
            <v>ii</v>
          </cell>
        </row>
        <row r="113">
          <cell r="B113" t="str">
            <v>iii</v>
          </cell>
        </row>
        <row r="114">
          <cell r="B114" t="str">
            <v>iv</v>
          </cell>
        </row>
        <row r="115">
          <cell r="E115" t="str">
            <v xml:space="preserve">Sub Total </v>
          </cell>
        </row>
        <row r="116">
          <cell r="E116" t="str">
            <v>Sub Total Human Resource for Health</v>
          </cell>
        </row>
        <row r="117">
          <cell r="B117" t="str">
            <v>.D.</v>
          </cell>
          <cell r="C117">
            <v>3280000</v>
          </cell>
          <cell r="D117">
            <v>3280000</v>
          </cell>
          <cell r="E117" t="str">
            <v>Service Delivery</v>
          </cell>
        </row>
        <row r="118">
          <cell r="B118">
            <v>1</v>
          </cell>
        </row>
        <row r="119">
          <cell r="B119" t="str">
            <v>i</v>
          </cell>
        </row>
        <row r="120">
          <cell r="B120" t="str">
            <v>ii</v>
          </cell>
        </row>
        <row r="121">
          <cell r="B121" t="str">
            <v>iii</v>
          </cell>
        </row>
        <row r="122">
          <cell r="B122" t="str">
            <v>iv</v>
          </cell>
        </row>
        <row r="123">
          <cell r="B123" t="str">
            <v>v</v>
          </cell>
        </row>
        <row r="124">
          <cell r="E124" t="str">
            <v xml:space="preserve">Sub Total </v>
          </cell>
        </row>
        <row r="125">
          <cell r="B125">
            <v>1</v>
          </cell>
        </row>
        <row r="126">
          <cell r="B126" t="str">
            <v>i</v>
          </cell>
        </row>
        <row r="127">
          <cell r="B127" t="str">
            <v>ii</v>
          </cell>
        </row>
        <row r="128">
          <cell r="B128" t="str">
            <v>iii</v>
          </cell>
        </row>
        <row r="129">
          <cell r="B129" t="str">
            <v>iv</v>
          </cell>
        </row>
        <row r="130">
          <cell r="B130" t="str">
            <v>v</v>
          </cell>
        </row>
        <row r="131">
          <cell r="E131" t="str">
            <v xml:space="preserve">Sub Total </v>
          </cell>
        </row>
        <row r="132">
          <cell r="E132" t="str">
            <v>Sub Total Service Delivery</v>
          </cell>
        </row>
        <row r="133">
          <cell r="B133" t="str">
            <v>.E.</v>
          </cell>
          <cell r="C133">
            <v>2640000</v>
          </cell>
          <cell r="D133">
            <v>2640000</v>
          </cell>
          <cell r="E133" t="str">
            <v>Supply Chain</v>
          </cell>
        </row>
        <row r="134">
          <cell r="B134" t="str">
            <v>i</v>
          </cell>
        </row>
        <row r="143">
          <cell r="B143" t="str">
            <v>ii</v>
          </cell>
        </row>
        <row r="144">
          <cell r="B144" t="str">
            <v>iii</v>
          </cell>
        </row>
        <row r="145">
          <cell r="B145" t="str">
            <v>iv</v>
          </cell>
        </row>
        <row r="147">
          <cell r="E147" t="str">
            <v>Sub Total Supply Chain</v>
          </cell>
        </row>
        <row r="148">
          <cell r="B148" t="str">
            <v>.F.</v>
          </cell>
          <cell r="C148">
            <v>3120000</v>
          </cell>
          <cell r="D148">
            <v>3120000</v>
          </cell>
          <cell r="E148" t="str">
            <v>Health Financing</v>
          </cell>
        </row>
        <row r="149">
          <cell r="B149" t="str">
            <v>i</v>
          </cell>
        </row>
        <row r="162">
          <cell r="B162" t="str">
            <v>ii</v>
          </cell>
        </row>
        <row r="163">
          <cell r="B163" t="str">
            <v>iii</v>
          </cell>
        </row>
        <row r="164">
          <cell r="B164" t="str">
            <v>iv</v>
          </cell>
        </row>
        <row r="166">
          <cell r="E166" t="str">
            <v>Sub Total Health Financing</v>
          </cell>
        </row>
        <row r="167">
          <cell r="B167" t="str">
            <v>.G.</v>
          </cell>
          <cell r="C167">
            <v>2640000</v>
          </cell>
          <cell r="D167">
            <v>2640000</v>
          </cell>
          <cell r="E167" t="str">
            <v>Health Information Management System</v>
          </cell>
        </row>
        <row r="181">
          <cell r="B181">
            <v>4</v>
          </cell>
          <cell r="E181" t="str">
            <v>Sub Total Health Information Management System</v>
          </cell>
        </row>
        <row r="182">
          <cell r="B182" t="str">
            <v>H</v>
          </cell>
          <cell r="C182">
            <v>0</v>
          </cell>
        </row>
        <row r="183">
          <cell r="E183" t="str">
            <v xml:space="preserve">Sub Total </v>
          </cell>
        </row>
        <row r="184">
          <cell r="B184" t="str">
            <v>I</v>
          </cell>
          <cell r="C184">
            <v>0</v>
          </cell>
        </row>
        <row r="185">
          <cell r="E185" t="str">
            <v xml:space="preserve">Sub Total </v>
          </cell>
        </row>
        <row r="186">
          <cell r="B186" t="str">
            <v>J</v>
          </cell>
          <cell r="C186">
            <v>0</v>
          </cell>
        </row>
        <row r="187">
          <cell r="E187" t="str">
            <v xml:space="preserve">Sub Total </v>
          </cell>
        </row>
        <row r="188">
          <cell r="E188" t="str">
            <v xml:space="preserve">Sub Total </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pyright"/>
      <sheetName val="Finance Data"/>
      <sheetName val="Clockfunction (3)"/>
      <sheetName val="Menu"/>
      <sheetName val="Data"/>
      <sheetName val="Project Details"/>
      <sheetName val="Next Year WP"/>
      <sheetName val="Gantt Chart"/>
      <sheetName val="Staff 1 Desk"/>
      <sheetName val="Presentation"/>
      <sheetName val="All Quarters"/>
      <sheetName val="ES Cover Letter"/>
      <sheetName val="REPORTING FACE FORM"/>
      <sheetName val="VARIANCE ANALYSIS_ ANNEX 4"/>
      <sheetName val="Protected Signature &amp; Stamp"/>
      <sheetName val="Proposal"/>
      <sheetName val="REQUESTING  FACE FORM"/>
      <sheetName val="Fuelling and waste February "/>
      <sheetName val="Chart Data"/>
      <sheetName val="Family Tree"/>
      <sheetName val="Sheet1"/>
    </sheetNames>
    <sheetDataSet>
      <sheetData sheetId="0"/>
      <sheetData sheetId="1"/>
      <sheetData sheetId="2"/>
      <sheetData sheetId="3"/>
      <sheetData sheetId="4"/>
      <sheetData sheetId="5">
        <row r="4">
          <cell r="B4" t="str">
            <v>Program</v>
          </cell>
        </row>
        <row r="19">
          <cell r="B19" t="str">
            <v>State</v>
          </cell>
          <cell r="C19" t="str">
            <v>Jigawa</v>
          </cell>
        </row>
        <row r="20">
          <cell r="C20" t="str">
            <v xml:space="preserve">PRIMARY HEALTHCARE DEVELOPMENT AGENCY
Block B New State Secretariat Complex
XYZ - JABC State.
</v>
          </cell>
        </row>
        <row r="21">
          <cell r="C21" t="str">
            <v xml:space="preserve"> phc@abcstate.gov.ng</v>
          </cell>
        </row>
        <row r="22">
          <cell r="C22" t="str">
            <v xml:space="preserve">Dr. shehu sambo </v>
          </cell>
        </row>
        <row r="23">
          <cell r="C23" t="str">
            <v>Executive Secretory</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0.xml"/><Relationship Id="rId2" Type="http://schemas.openxmlformats.org/officeDocument/2006/relationships/vmlDrawing" Target="../drawings/vmlDrawing3.vml"/><Relationship Id="rId1" Type="http://schemas.openxmlformats.org/officeDocument/2006/relationships/drawing" Target="../drawings/drawing3.xml"/><Relationship Id="rId6" Type="http://schemas.openxmlformats.org/officeDocument/2006/relationships/ctrlProp" Target="../ctrlProps/ctrlProp13.xml"/><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B3E92-78D2-4C17-A468-CD4DAC7ECD45}">
  <dimension ref="A1:U43"/>
  <sheetViews>
    <sheetView showGridLines="0" showRowColHeaders="0" tabSelected="1" view="pageBreakPreview" zoomScaleNormal="100" zoomScaleSheetLayoutView="100" workbookViewId="0">
      <selection activeCell="B9" sqref="B9:H10"/>
    </sheetView>
  </sheetViews>
  <sheetFormatPr defaultRowHeight="14.5"/>
  <cols>
    <col min="1" max="2" width="8.7265625" style="1"/>
    <col min="3" max="3" width="9.6328125" style="1" bestFit="1" customWidth="1"/>
    <col min="4" max="6" width="8.7265625" style="1"/>
    <col min="7" max="7" width="13.08984375" style="1" customWidth="1"/>
    <col min="8" max="8" width="20" style="1" customWidth="1"/>
    <col min="9" max="14" width="8.7265625" style="1"/>
  </cols>
  <sheetData>
    <row r="1" spans="2:21">
      <c r="P1" s="115"/>
      <c r="Q1" s="115"/>
      <c r="R1" s="115"/>
      <c r="S1" s="115"/>
      <c r="T1" s="115"/>
      <c r="U1" s="115"/>
    </row>
    <row r="2" spans="2:21">
      <c r="P2" s="115"/>
      <c r="Q2" s="115"/>
      <c r="R2" s="115"/>
      <c r="S2" s="115"/>
      <c r="T2" s="115"/>
      <c r="U2" s="115"/>
    </row>
    <row r="3" spans="2:21">
      <c r="P3" s="115"/>
      <c r="Q3" s="115"/>
      <c r="R3" s="115"/>
      <c r="S3" s="115"/>
      <c r="T3" s="115"/>
      <c r="U3" s="115"/>
    </row>
    <row r="4" spans="2:21">
      <c r="P4" s="115"/>
      <c r="Q4" s="115"/>
      <c r="R4" s="115"/>
      <c r="S4" s="115"/>
      <c r="T4" s="115"/>
      <c r="U4" s="115"/>
    </row>
    <row r="5" spans="2:21">
      <c r="P5" s="115"/>
      <c r="Q5" s="115"/>
      <c r="R5" s="115"/>
      <c r="S5" s="115"/>
      <c r="T5" s="115"/>
      <c r="U5" s="115"/>
    </row>
    <row r="6" spans="2:21">
      <c r="P6" s="115"/>
      <c r="Q6" s="115"/>
      <c r="R6" s="115"/>
      <c r="S6" s="115"/>
      <c r="T6" s="115"/>
      <c r="U6" s="115"/>
    </row>
    <row r="7" spans="2:21" ht="28">
      <c r="E7" s="116" t="str">
        <f>CONCATENATE('[2]Project Details'!C19, " ",'[2]Project Details'!B19)</f>
        <v>Jigawa State</v>
      </c>
      <c r="P7" s="115"/>
      <c r="Q7" s="115"/>
      <c r="R7" s="115"/>
      <c r="S7" s="115"/>
      <c r="T7" s="115"/>
      <c r="U7" s="115"/>
    </row>
    <row r="8" spans="2:21" ht="23.5">
      <c r="C8" s="117"/>
      <c r="P8" s="115"/>
      <c r="Q8" s="115"/>
      <c r="R8" s="115"/>
      <c r="S8" s="115"/>
      <c r="T8" s="115"/>
      <c r="U8" s="115"/>
    </row>
    <row r="9" spans="2:21" ht="21" customHeight="1">
      <c r="C9" s="118" t="str">
        <f>'[2]Project Details'!C20</f>
        <v xml:space="preserve">PRIMARY HEALTHCARE DEVELOPMENT AGENCY
Block B New State Secretariat Complex
XYZ - JABC State.
</v>
      </c>
      <c r="D9" s="118"/>
      <c r="E9" s="118"/>
      <c r="F9" s="118"/>
      <c r="G9" s="118"/>
      <c r="H9" s="118"/>
      <c r="P9" s="115"/>
      <c r="Q9" s="115"/>
      <c r="R9" s="115"/>
      <c r="S9" s="115"/>
      <c r="T9" s="115"/>
      <c r="U9" s="115"/>
    </row>
    <row r="10" spans="2:21" ht="21" customHeight="1">
      <c r="C10" s="118"/>
      <c r="D10" s="118"/>
      <c r="E10" s="118"/>
      <c r="F10" s="118"/>
      <c r="G10" s="118"/>
      <c r="H10" s="118"/>
      <c r="P10" s="115"/>
      <c r="Q10" s="115"/>
      <c r="R10" s="115"/>
      <c r="S10" s="115"/>
      <c r="T10" s="115"/>
      <c r="U10" s="115"/>
    </row>
    <row r="11" spans="2:21" ht="18.5">
      <c r="D11" s="119" t="s">
        <v>48</v>
      </c>
      <c r="E11" s="119" t="str">
        <f>'[2]Project Details'!C21</f>
        <v xml:space="preserve"> phc@abcstate.gov.ng</v>
      </c>
      <c r="F11" s="120"/>
      <c r="K11"/>
      <c r="L11"/>
      <c r="M11"/>
      <c r="N11"/>
      <c r="P11" s="115"/>
      <c r="Q11" s="115"/>
      <c r="R11" s="115"/>
      <c r="S11" s="115"/>
      <c r="T11" s="115"/>
      <c r="U11" s="115"/>
    </row>
    <row r="12" spans="2:21" ht="19" thickBot="1">
      <c r="D12" s="119"/>
      <c r="E12" s="119"/>
      <c r="F12" s="120"/>
      <c r="K12"/>
      <c r="L12"/>
      <c r="M12"/>
      <c r="N12"/>
      <c r="P12" s="115"/>
      <c r="Q12" s="115"/>
      <c r="R12" s="115"/>
      <c r="S12" s="115"/>
      <c r="T12" s="115"/>
      <c r="U12" s="115"/>
    </row>
    <row r="13" spans="2:21">
      <c r="B13" s="121" t="s">
        <v>49</v>
      </c>
      <c r="C13" s="122"/>
      <c r="D13" s="122"/>
      <c r="E13" s="122"/>
      <c r="F13" s="122"/>
      <c r="G13" s="122"/>
      <c r="H13" s="123">
        <f ca="1">TODAY()</f>
        <v>46262</v>
      </c>
      <c r="K13"/>
      <c r="L13"/>
      <c r="M13"/>
      <c r="N13"/>
      <c r="P13" s="115"/>
      <c r="Q13" s="115"/>
      <c r="R13" s="115"/>
      <c r="S13" s="115"/>
      <c r="T13" s="115"/>
      <c r="U13" s="115"/>
    </row>
    <row r="14" spans="2:21">
      <c r="B14" s="124"/>
      <c r="C14" s="125"/>
      <c r="D14" s="125"/>
      <c r="E14" s="125"/>
      <c r="F14" s="125"/>
      <c r="G14" s="125"/>
      <c r="H14" s="126"/>
      <c r="K14"/>
      <c r="L14"/>
      <c r="M14"/>
      <c r="N14"/>
      <c r="P14" s="115"/>
      <c r="Q14" s="115"/>
      <c r="R14" s="115"/>
      <c r="S14" s="115"/>
      <c r="T14" s="115"/>
      <c r="U14" s="115"/>
    </row>
    <row r="15" spans="2:21">
      <c r="B15" s="127" t="s">
        <v>50</v>
      </c>
      <c r="C15" s="125"/>
      <c r="D15" s="125"/>
      <c r="E15" s="125"/>
      <c r="F15" s="125"/>
      <c r="G15" s="125"/>
      <c r="H15" s="126"/>
      <c r="K15"/>
      <c r="L15"/>
      <c r="M15"/>
      <c r="N15"/>
      <c r="P15" s="115"/>
      <c r="Q15" s="115"/>
      <c r="R15" s="115"/>
      <c r="S15" s="115"/>
      <c r="T15" s="115"/>
      <c r="U15" s="115"/>
    </row>
    <row r="16" spans="2:21">
      <c r="B16" s="127" t="s">
        <v>51</v>
      </c>
      <c r="C16" s="125"/>
      <c r="D16" s="125"/>
      <c r="E16" s="125"/>
      <c r="F16" s="125"/>
      <c r="G16" s="125"/>
      <c r="H16" s="126"/>
      <c r="K16"/>
      <c r="L16"/>
      <c r="M16"/>
      <c r="N16"/>
      <c r="P16" s="115"/>
      <c r="Q16" s="115"/>
      <c r="R16" s="115"/>
      <c r="S16" s="115"/>
      <c r="T16" s="115"/>
      <c r="U16" s="115"/>
    </row>
    <row r="17" spans="2:21" ht="15" thickBot="1">
      <c r="B17" s="128" t="s">
        <v>52</v>
      </c>
      <c r="C17" s="129"/>
      <c r="D17" s="129"/>
      <c r="E17" s="129"/>
      <c r="F17" s="129"/>
      <c r="G17" s="129"/>
      <c r="H17" s="130"/>
      <c r="K17"/>
      <c r="L17"/>
      <c r="M17"/>
      <c r="N17"/>
      <c r="P17" s="115"/>
      <c r="Q17" s="115"/>
      <c r="R17" s="115"/>
      <c r="S17" s="115"/>
      <c r="T17" s="115"/>
      <c r="U17" s="115"/>
    </row>
    <row r="18" spans="2:21" ht="15" thickBot="1">
      <c r="K18"/>
      <c r="L18"/>
      <c r="M18"/>
      <c r="N18"/>
      <c r="P18" s="115"/>
      <c r="Q18" s="115"/>
      <c r="R18" s="115"/>
      <c r="S18" s="115"/>
      <c r="T18" s="115"/>
      <c r="U18" s="115"/>
    </row>
    <row r="19" spans="2:21">
      <c r="B19" s="131" t="s">
        <v>53</v>
      </c>
      <c r="C19" s="132"/>
      <c r="D19" s="132"/>
      <c r="E19" s="132"/>
      <c r="F19" s="132"/>
      <c r="G19" s="132"/>
      <c r="H19" s="133"/>
      <c r="K19"/>
      <c r="L19"/>
      <c r="M19"/>
      <c r="N19"/>
      <c r="P19" s="115"/>
      <c r="Q19" s="115"/>
      <c r="R19" s="115"/>
      <c r="S19" s="115"/>
      <c r="T19" s="115"/>
      <c r="U19" s="115"/>
    </row>
    <row r="20" spans="2:21">
      <c r="B20" s="134"/>
      <c r="C20" s="135"/>
      <c r="D20" s="135"/>
      <c r="E20" s="135"/>
      <c r="F20" s="135"/>
      <c r="G20" s="135"/>
      <c r="H20" s="136"/>
      <c r="K20"/>
      <c r="L20"/>
      <c r="M20"/>
      <c r="N20"/>
      <c r="P20" s="115"/>
      <c r="Q20" s="115"/>
      <c r="R20" s="115"/>
      <c r="S20" s="115"/>
      <c r="T20" s="115"/>
      <c r="U20" s="115"/>
    </row>
    <row r="21" spans="2:21" ht="15" thickBot="1">
      <c r="B21" s="137"/>
      <c r="C21" s="138"/>
      <c r="D21" s="138"/>
      <c r="E21" s="138"/>
      <c r="F21" s="138"/>
      <c r="G21" s="138"/>
      <c r="H21" s="139"/>
      <c r="K21"/>
      <c r="L21"/>
      <c r="M21"/>
      <c r="N21"/>
      <c r="P21" s="115"/>
      <c r="Q21" s="115"/>
      <c r="R21" s="115"/>
      <c r="S21" s="115"/>
      <c r="T21" s="115"/>
      <c r="U21" s="115"/>
    </row>
    <row r="22" spans="2:21" ht="16.5" thickBot="1">
      <c r="B22" s="140"/>
      <c r="K22"/>
      <c r="L22"/>
      <c r="M22"/>
      <c r="N22"/>
      <c r="P22" s="115"/>
      <c r="Q22" s="115"/>
      <c r="R22" s="115"/>
      <c r="S22" s="115"/>
      <c r="T22" s="115"/>
      <c r="U22" s="115"/>
    </row>
    <row r="23" spans="2:21" ht="17">
      <c r="B23" s="141" t="s">
        <v>54</v>
      </c>
      <c r="C23" s="142"/>
      <c r="D23" s="142"/>
      <c r="E23" s="142"/>
      <c r="F23" s="142"/>
      <c r="G23" s="142"/>
      <c r="H23" s="143"/>
      <c r="K23"/>
      <c r="L23"/>
      <c r="M23"/>
      <c r="N23"/>
    </row>
    <row r="24" spans="2:21" ht="17">
      <c r="B24" s="144" t="s">
        <v>55</v>
      </c>
      <c r="C24" s="145"/>
      <c r="D24" s="145"/>
      <c r="E24" s="145"/>
      <c r="F24" s="145"/>
      <c r="G24" s="145"/>
      <c r="H24" s="146"/>
      <c r="K24"/>
      <c r="L24"/>
      <c r="M24"/>
      <c r="N24"/>
    </row>
    <row r="25" spans="2:21" ht="15" thickBot="1">
      <c r="B25" s="3"/>
      <c r="C25" s="2"/>
      <c r="D25" s="2"/>
      <c r="E25" s="2"/>
      <c r="F25" s="2"/>
      <c r="G25" s="2"/>
      <c r="H25" s="4"/>
      <c r="K25"/>
      <c r="L25"/>
      <c r="M25"/>
      <c r="N25"/>
    </row>
    <row r="26" spans="2:21" ht="21.65" customHeight="1" thickBot="1">
      <c r="B26" s="147" t="s">
        <v>56</v>
      </c>
      <c r="C26" s="148" t="s">
        <v>57</v>
      </c>
      <c r="D26" s="149"/>
      <c r="E26" s="149"/>
      <c r="F26" s="149"/>
      <c r="G26" s="150"/>
      <c r="H26" s="151" t="s">
        <v>58</v>
      </c>
      <c r="K26"/>
      <c r="L26"/>
      <c r="M26"/>
      <c r="N26"/>
    </row>
    <row r="27" spans="2:21" ht="21.65" customHeight="1" thickBot="1">
      <c r="B27" s="152" t="s">
        <v>10</v>
      </c>
      <c r="C27" s="153" t="str">
        <f>IF(B27=0,"",VLOOKUP(B27,b!$A$16:$K$25,2,FALSE))</f>
        <v>Leadership, Management and Coordination</v>
      </c>
      <c r="D27" s="154"/>
      <c r="E27" s="155"/>
      <c r="F27" s="156"/>
      <c r="G27" s="157"/>
      <c r="H27" s="158">
        <f>IF(B27=0,"",VLOOKUP(B27,b!$A$16:$K$25,10,FALSE))</f>
        <v>2440000</v>
      </c>
      <c r="K27"/>
      <c r="L27"/>
      <c r="M27"/>
      <c r="N27"/>
    </row>
    <row r="28" spans="2:21" ht="21.65" customHeight="1" thickBot="1">
      <c r="B28" s="152" t="s">
        <v>28</v>
      </c>
      <c r="C28" s="153" t="str">
        <f>IF(B28=0,"",VLOOKUP(B28,b!$A$16:$K$25,2,FALSE))</f>
        <v>Demand Generation</v>
      </c>
      <c r="D28" s="154"/>
      <c r="E28" s="155"/>
      <c r="F28" s="156"/>
      <c r="G28" s="157"/>
      <c r="H28" s="158">
        <f>IF(B28=0,"",VLOOKUP(B28,b!$A$16:$K$25,10,FALSE))</f>
        <v>23200000</v>
      </c>
      <c r="K28"/>
      <c r="L28"/>
      <c r="M28"/>
      <c r="N28"/>
    </row>
    <row r="29" spans="2:21" ht="24" customHeight="1" thickBot="1">
      <c r="B29" s="152" t="s">
        <v>29</v>
      </c>
      <c r="C29" s="153" t="str">
        <f>IF(B29=0,"",VLOOKUP(B29,b!$A$16:$K$25,2,FALSE))</f>
        <v>Human Resource for Health</v>
      </c>
      <c r="D29" s="154"/>
      <c r="E29" s="155"/>
      <c r="F29" s="156"/>
      <c r="G29" s="157"/>
      <c r="H29" s="158">
        <f>IF(B29=0,"",VLOOKUP(B29,b!$A$16:$K$25,10,FALSE))</f>
        <v>2640000</v>
      </c>
      <c r="K29"/>
      <c r="L29"/>
      <c r="M29"/>
      <c r="N29"/>
    </row>
    <row r="30" spans="2:21" ht="24" customHeight="1" thickBot="1">
      <c r="B30" s="152" t="s">
        <v>30</v>
      </c>
      <c r="C30" s="153" t="str">
        <f>IF(B30=0,"",VLOOKUP(B30,b!$A$16:$K$25,2,FALSE))</f>
        <v>Service Delivery</v>
      </c>
      <c r="D30" s="154"/>
      <c r="E30" s="155"/>
      <c r="F30" s="156"/>
      <c r="G30" s="157"/>
      <c r="H30" s="158">
        <f>IF(B30=0,"",VLOOKUP(B30,b!$A$16:$K$25,10,FALSE))</f>
        <v>3280000</v>
      </c>
      <c r="K30"/>
      <c r="L30"/>
      <c r="M30"/>
      <c r="N30"/>
    </row>
    <row r="31" spans="2:21" ht="24" customHeight="1" thickBot="1">
      <c r="B31" s="152" t="s">
        <v>31</v>
      </c>
      <c r="C31" s="153" t="str">
        <f>IF(B31=0,"",VLOOKUP(B31,b!$A$16:$K$25,2,FALSE))</f>
        <v>Supply Chain</v>
      </c>
      <c r="D31" s="154"/>
      <c r="E31" s="155"/>
      <c r="F31" s="156"/>
      <c r="G31" s="157"/>
      <c r="H31" s="158">
        <f>IF(B31=0,"",VLOOKUP(B31,b!$A$16:$K$25,10,FALSE))</f>
        <v>2640000</v>
      </c>
      <c r="K31"/>
      <c r="L31"/>
      <c r="M31"/>
      <c r="N31"/>
    </row>
    <row r="32" spans="2:21" ht="24" customHeight="1" thickBot="1">
      <c r="B32" s="152" t="s">
        <v>32</v>
      </c>
      <c r="C32" s="153" t="str">
        <f>IF(B32=0,"",VLOOKUP(B32,b!$A$16:$K$25,2,FALSE))</f>
        <v>Health Financing</v>
      </c>
      <c r="D32" s="154"/>
      <c r="E32" s="155"/>
      <c r="F32" s="156"/>
      <c r="G32" s="157"/>
      <c r="H32" s="158">
        <f>IF(B32=0,"",VLOOKUP(B32,b!$A$16:$K$25,10,FALSE))</f>
        <v>3120000</v>
      </c>
    </row>
    <row r="33" spans="2:8" ht="24" customHeight="1" thickBot="1">
      <c r="B33" s="152" t="s">
        <v>33</v>
      </c>
      <c r="C33" s="153" t="str">
        <f>IF(B33=0,"",VLOOKUP(B33,b!$A$16:$K$25,2,FALSE))</f>
        <v>Health Information Management System</v>
      </c>
      <c r="D33" s="154"/>
      <c r="E33" s="155"/>
      <c r="F33" s="156"/>
      <c r="G33" s="157"/>
      <c r="H33" s="158">
        <f>IF(B33=0,"",VLOOKUP(B33,b!$A$16:$K$25,10,FALSE))</f>
        <v>2640000</v>
      </c>
    </row>
    <row r="34" spans="2:8" ht="24" customHeight="1" thickBot="1">
      <c r="B34" s="152">
        <v>0</v>
      </c>
      <c r="C34" s="159" t="str">
        <f>IF(B34=0,"",VLOOKUP(B34,b!$A$16:$K$25,2,FALSE))</f>
        <v/>
      </c>
      <c r="D34" s="160"/>
      <c r="E34" s="156"/>
      <c r="F34" s="156"/>
      <c r="G34" s="157"/>
      <c r="H34" s="158" t="str">
        <f>IF(B34=0,"",VLOOKUP(B34,b!$A$16:$K$25,10,FALSE))</f>
        <v/>
      </c>
    </row>
    <row r="35" spans="2:8" ht="24" customHeight="1" thickBot="1">
      <c r="B35" s="161">
        <v>0</v>
      </c>
      <c r="C35" s="159" t="str">
        <f>IF(B35=0,"",VLOOKUP(B35,b!$A$16:$K$25,2,FALSE))</f>
        <v/>
      </c>
      <c r="D35" s="160"/>
      <c r="E35" s="156"/>
      <c r="F35" s="156"/>
      <c r="G35" s="157"/>
      <c r="H35" s="158" t="str">
        <f>IF(B35=0,"",VLOOKUP(B35,b!$A$16:$K$25,10,FALSE))</f>
        <v/>
      </c>
    </row>
    <row r="36" spans="2:8" ht="16.5" thickBot="1">
      <c r="B36" s="161">
        <v>0</v>
      </c>
      <c r="C36" s="162"/>
      <c r="D36" s="160"/>
      <c r="E36" s="156"/>
      <c r="F36" s="156"/>
      <c r="G36" s="157"/>
      <c r="H36" s="158" t="str">
        <f>IF(B36=0,"",VLOOKUP(B36,b!$A$16:$K$25,10,FALSE))</f>
        <v/>
      </c>
    </row>
    <row r="37" spans="2:8" ht="19" thickBot="1">
      <c r="B37" s="163"/>
      <c r="C37" s="164" t="s">
        <v>59</v>
      </c>
      <c r="D37" s="165"/>
      <c r="E37" s="165"/>
      <c r="F37" s="165"/>
      <c r="G37" s="166"/>
      <c r="H37" s="167">
        <f>SUM(H27:H36)</f>
        <v>39960000</v>
      </c>
    </row>
    <row r="38" spans="2:8">
      <c r="C38" s="168"/>
      <c r="D38" s="168"/>
      <c r="E38" s="168"/>
      <c r="F38" s="168"/>
      <c r="G38" s="168"/>
      <c r="H38" s="169"/>
    </row>
    <row r="39" spans="2:8" ht="17">
      <c r="B39" s="145" t="s">
        <v>60</v>
      </c>
    </row>
    <row r="42" spans="2:8" ht="17">
      <c r="B42" s="145" t="str">
        <f>'[2]Project Details'!C22</f>
        <v xml:space="preserve">Dr. shehu sambo </v>
      </c>
    </row>
    <row r="43" spans="2:8" ht="17">
      <c r="B43" s="145" t="str">
        <f>'[2]Project Details'!C23</f>
        <v>Executive Secretory</v>
      </c>
    </row>
  </sheetData>
  <sheetProtection algorithmName="SHA-512" hashValue="1VuJNJHHEq+HZuut3qVl1FILYZh5v2OyfegNkfAa+chUqXx3DXxeQon1/Ujkvn4dfuujRPMEn2/l/yOq+m7EHQ==" saltValue="21rLZPprqtB80I8c75JuTA==" spinCount="100000" sheet="1"/>
  <mergeCells count="5">
    <mergeCell ref="C9:H10"/>
    <mergeCell ref="B19:H21"/>
    <mergeCell ref="C26:G26"/>
    <mergeCell ref="C37:G37"/>
    <mergeCell ref="C38:G38"/>
  </mergeCells>
  <dataValidations count="1">
    <dataValidation type="list" allowBlank="1" showInputMessage="1" showErrorMessage="1" sqref="B27:B36" xr:uid="{2F1AA325-5779-485E-B7A3-0A2003B56BBB}">
      <formula1>".A.,.B.,.C.,.D.,.E.,.F.,.G.,0"</formula1>
    </dataValidation>
  </dataValidations>
  <pageMargins left="0.70866141732283472" right="0.70866141732283472" top="0.74803149606299213" bottom="0.74803149606299213" header="0.31496062992125984" footer="0.31496062992125984"/>
  <pageSetup scale="87"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0]!GotoDatabase1">
                <anchor moveWithCells="1" sizeWithCells="1">
                  <from>
                    <xdr:col>10</xdr:col>
                    <xdr:colOff>292100</xdr:colOff>
                    <xdr:row>12</xdr:row>
                    <xdr:rowOff>76200</xdr:rowOff>
                  </from>
                  <to>
                    <xdr:col>12</xdr:col>
                    <xdr:colOff>438150</xdr:colOff>
                    <xdr:row>14</xdr:row>
                    <xdr:rowOff>120650</xdr:rowOff>
                  </to>
                </anchor>
              </controlPr>
            </control>
          </mc:Choice>
        </mc:AlternateContent>
        <mc:AlternateContent xmlns:mc="http://schemas.openxmlformats.org/markup-compatibility/2006">
          <mc:Choice Requires="x14">
            <control shapeId="2050" r:id="rId5" name="Button 2">
              <controlPr defaultSize="0" print="0" autoFill="0" autoPict="0" macro="[0]!ProducePDFLiquFACE">
                <anchor moveWithCells="1" sizeWithCells="1">
                  <from>
                    <xdr:col>10</xdr:col>
                    <xdr:colOff>317500</xdr:colOff>
                    <xdr:row>16</xdr:row>
                    <xdr:rowOff>12700</xdr:rowOff>
                  </from>
                  <to>
                    <xdr:col>12</xdr:col>
                    <xdr:colOff>476250</xdr:colOff>
                    <xdr:row>18</xdr:row>
                    <xdr:rowOff>139700</xdr:rowOff>
                  </to>
                </anchor>
              </controlPr>
            </control>
          </mc:Choice>
        </mc:AlternateContent>
        <mc:AlternateContent xmlns:mc="http://schemas.openxmlformats.org/markup-compatibility/2006">
          <mc:Choice Requires="x14">
            <control shapeId="2051" r:id="rId6" name="Button 3">
              <controlPr defaultSize="0" print="0" autoFill="0" autoPict="0" macro="[0]!Stampandsign">
                <anchor moveWithCells="1" sizeWithCells="1">
                  <from>
                    <xdr:col>10</xdr:col>
                    <xdr:colOff>330200</xdr:colOff>
                    <xdr:row>19</xdr:row>
                    <xdr:rowOff>95250</xdr:rowOff>
                  </from>
                  <to>
                    <xdr:col>12</xdr:col>
                    <xdr:colOff>514350</xdr:colOff>
                    <xdr:row>22</xdr:row>
                    <xdr:rowOff>165100</xdr:rowOff>
                  </to>
                </anchor>
              </controlPr>
            </control>
          </mc:Choice>
        </mc:AlternateContent>
        <mc:AlternateContent xmlns:mc="http://schemas.openxmlformats.org/markup-compatibility/2006">
          <mc:Choice Requires="x14">
            <control shapeId="2052" r:id="rId7" name="Button 4">
              <controlPr defaultSize="0" print="0" autoFill="0" autoPict="0" macro="[0]!gotostamp">
                <anchor moveWithCells="1" sizeWithCells="1">
                  <from>
                    <xdr:col>10</xdr:col>
                    <xdr:colOff>336550</xdr:colOff>
                    <xdr:row>23</xdr:row>
                    <xdr:rowOff>120650</xdr:rowOff>
                  </from>
                  <to>
                    <xdr:col>12</xdr:col>
                    <xdr:colOff>520700</xdr:colOff>
                    <xdr:row>25</xdr:row>
                    <xdr:rowOff>177800</xdr:rowOff>
                  </to>
                </anchor>
              </controlPr>
            </control>
          </mc:Choice>
        </mc:AlternateContent>
        <mc:AlternateContent xmlns:mc="http://schemas.openxmlformats.org/markup-compatibility/2006">
          <mc:Choice Requires="x14">
            <control shapeId="2053" r:id="rId8" name="Button 5">
              <controlPr defaultSize="0" print="0" autoFill="0" autoPict="0" macro="[0]!Liquidateface">
                <anchor moveWithCells="1" sizeWithCells="1">
                  <from>
                    <xdr:col>10</xdr:col>
                    <xdr:colOff>400050</xdr:colOff>
                    <xdr:row>26</xdr:row>
                    <xdr:rowOff>133350</xdr:rowOff>
                  </from>
                  <to>
                    <xdr:col>12</xdr:col>
                    <xdr:colOff>558800</xdr:colOff>
                    <xdr:row>28</xdr:row>
                    <xdr:rowOff>31750</xdr:rowOff>
                  </to>
                </anchor>
              </controlPr>
            </control>
          </mc:Choice>
        </mc:AlternateContent>
        <mc:AlternateContent xmlns:mc="http://schemas.openxmlformats.org/markup-compatibility/2006">
          <mc:Choice Requires="x14">
            <control shapeId="2054" r:id="rId9" name="Button 6">
              <controlPr defaultSize="0" print="0" autoFill="0" autoPict="0" macro="[0]!GotoannexIV">
                <anchor moveWithCells="1" sizeWithCells="1">
                  <from>
                    <xdr:col>10</xdr:col>
                    <xdr:colOff>381000</xdr:colOff>
                    <xdr:row>28</xdr:row>
                    <xdr:rowOff>171450</xdr:rowOff>
                  </from>
                  <to>
                    <xdr:col>12</xdr:col>
                    <xdr:colOff>596900</xdr:colOff>
                    <xdr:row>29</xdr:row>
                    <xdr:rowOff>298450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CB8D-8437-49BD-B5BF-ED9BAA89A46E}">
  <sheetPr>
    <pageSetUpPr fitToPage="1"/>
  </sheetPr>
  <dimension ref="A1:R54"/>
  <sheetViews>
    <sheetView showGridLines="0" view="pageBreakPreview" topLeftCell="F28" zoomScale="50" zoomScaleNormal="50" zoomScaleSheetLayoutView="50" workbookViewId="0">
      <selection activeCell="B9" sqref="B9:H10"/>
    </sheetView>
  </sheetViews>
  <sheetFormatPr defaultColWidth="8.7265625" defaultRowHeight="26"/>
  <cols>
    <col min="1" max="1" width="2.81640625" style="170" customWidth="1"/>
    <col min="2" max="2" width="11.1796875" style="179" customWidth="1"/>
    <col min="3" max="3" width="8.7265625" style="179"/>
    <col min="4" max="4" width="24.81640625" style="179" customWidth="1"/>
    <col min="5" max="5" width="1.1796875" style="179" customWidth="1"/>
    <col min="6" max="6" width="71.453125" style="179" customWidth="1"/>
    <col min="7" max="7" width="4.1796875" style="179" customWidth="1"/>
    <col min="8" max="8" width="33.6328125" style="179" customWidth="1"/>
    <col min="9" max="9" width="3.6328125" style="179" customWidth="1"/>
    <col min="10" max="10" width="40.7265625" style="179" customWidth="1"/>
    <col min="11" max="11" width="37.453125" style="179" customWidth="1"/>
    <col min="12" max="12" width="35.54296875" style="179" customWidth="1"/>
    <col min="13" max="13" width="35.1796875" style="179" customWidth="1"/>
    <col min="14" max="14" width="3.54296875" style="179" customWidth="1"/>
    <col min="15" max="15" width="40.453125" style="179" customWidth="1"/>
    <col min="16" max="16" width="38.453125" style="179" customWidth="1"/>
    <col min="17" max="17" width="36.54296875" style="179" customWidth="1"/>
    <col min="18" max="16384" width="8.7265625" style="179"/>
  </cols>
  <sheetData>
    <row r="1" spans="1:18" ht="32.5">
      <c r="B1" s="171" t="s">
        <v>61</v>
      </c>
      <c r="C1" s="171"/>
      <c r="D1" s="171"/>
      <c r="E1" s="171"/>
      <c r="F1" s="171"/>
      <c r="G1" s="172"/>
      <c r="H1" s="172"/>
      <c r="I1" s="172"/>
      <c r="J1" s="173"/>
      <c r="K1" s="174" t="s">
        <v>62</v>
      </c>
      <c r="L1" s="175" t="s">
        <v>63</v>
      </c>
      <c r="M1" s="173"/>
      <c r="N1" s="173"/>
      <c r="O1" s="173"/>
      <c r="P1" s="176" t="s">
        <v>47</v>
      </c>
      <c r="Q1" s="177">
        <f ca="1">TODAY()</f>
        <v>46262</v>
      </c>
      <c r="R1" s="178"/>
    </row>
    <row r="2" spans="1:18">
      <c r="B2" s="180"/>
      <c r="C2" s="180"/>
      <c r="D2" s="180"/>
      <c r="E2" s="180"/>
      <c r="F2" s="180"/>
      <c r="G2" s="181"/>
      <c r="H2" s="181"/>
      <c r="I2" s="181"/>
      <c r="J2" s="181"/>
      <c r="K2" s="181"/>
      <c r="L2" s="181"/>
      <c r="M2" s="181"/>
      <c r="N2" s="181"/>
      <c r="O2" s="173"/>
      <c r="P2" s="181"/>
      <c r="Q2" s="182"/>
      <c r="R2" s="181"/>
    </row>
    <row r="3" spans="1:18" ht="28">
      <c r="B3" s="183" t="s">
        <v>64</v>
      </c>
      <c r="C3" s="183"/>
      <c r="D3" s="183"/>
      <c r="E3" s="184" t="s">
        <v>65</v>
      </c>
      <c r="F3" s="184"/>
      <c r="G3" s="181"/>
      <c r="H3" s="181"/>
      <c r="I3" s="181"/>
      <c r="J3" s="173"/>
      <c r="K3" s="173"/>
      <c r="L3" s="178"/>
      <c r="M3" s="173"/>
      <c r="N3" s="181"/>
      <c r="O3" s="173"/>
      <c r="P3" s="185" t="s">
        <v>66</v>
      </c>
      <c r="Q3" s="186"/>
      <c r="R3" s="181"/>
    </row>
    <row r="4" spans="1:18" ht="28">
      <c r="B4" s="183" t="s">
        <v>67</v>
      </c>
      <c r="C4" s="183"/>
      <c r="D4" s="183"/>
      <c r="E4" s="187"/>
      <c r="F4" s="187" t="s">
        <v>68</v>
      </c>
      <c r="G4" s="181"/>
      <c r="H4" s="181"/>
      <c r="I4" s="181"/>
      <c r="J4" s="181"/>
      <c r="K4" s="181"/>
      <c r="L4" s="181"/>
      <c r="M4" s="181"/>
      <c r="N4" s="181"/>
      <c r="O4" s="173"/>
      <c r="P4" s="188" t="s">
        <v>69</v>
      </c>
      <c r="Q4" s="189"/>
      <c r="R4" s="181"/>
    </row>
    <row r="5" spans="1:18" ht="28">
      <c r="B5" s="183" t="s">
        <v>70</v>
      </c>
      <c r="C5" s="183"/>
      <c r="D5" s="183"/>
      <c r="E5" s="187"/>
      <c r="F5" s="187" t="s">
        <v>71</v>
      </c>
      <c r="G5" s="190"/>
      <c r="H5" s="190"/>
      <c r="I5" s="190"/>
      <c r="J5" s="190"/>
      <c r="K5" s="191"/>
      <c r="L5" s="181"/>
      <c r="M5" s="181"/>
      <c r="N5" s="181"/>
      <c r="O5" s="173"/>
      <c r="P5" s="188" t="s">
        <v>72</v>
      </c>
      <c r="Q5" s="188"/>
      <c r="R5" s="181"/>
    </row>
    <row r="6" spans="1:18" ht="28">
      <c r="B6" s="183" t="s">
        <v>73</v>
      </c>
      <c r="C6" s="183"/>
      <c r="D6" s="183"/>
      <c r="E6" s="187"/>
      <c r="F6" s="187" t="s">
        <v>74</v>
      </c>
      <c r="G6" s="181"/>
      <c r="H6" s="181"/>
      <c r="I6" s="181"/>
      <c r="J6" s="192"/>
      <c r="K6" s="192"/>
      <c r="L6" s="181"/>
      <c r="M6" s="181"/>
      <c r="N6" s="181"/>
      <c r="O6" s="173"/>
      <c r="P6" s="188" t="s">
        <v>75</v>
      </c>
      <c r="Q6" s="188"/>
      <c r="R6" s="181"/>
    </row>
    <row r="7" spans="1:18" ht="28">
      <c r="B7" s="183" t="s">
        <v>76</v>
      </c>
      <c r="C7" s="183"/>
      <c r="D7" s="183"/>
      <c r="E7" s="187"/>
      <c r="F7" s="187" t="s">
        <v>77</v>
      </c>
      <c r="G7" s="187"/>
      <c r="H7" s="187"/>
      <c r="I7" s="181"/>
      <c r="J7" s="192"/>
      <c r="K7" s="192"/>
      <c r="L7" s="181"/>
      <c r="M7" s="181"/>
      <c r="N7" s="181"/>
      <c r="O7" s="181"/>
      <c r="P7" s="181"/>
      <c r="Q7" s="182"/>
      <c r="R7" s="181"/>
    </row>
    <row r="8" spans="1:18" ht="28.5" thickBot="1">
      <c r="B8" s="183"/>
      <c r="C8" s="183"/>
      <c r="D8" s="183"/>
      <c r="E8" s="183"/>
      <c r="F8" s="183"/>
      <c r="G8" s="181"/>
      <c r="H8" s="181"/>
      <c r="I8" s="181"/>
      <c r="J8" s="192"/>
      <c r="K8" s="192"/>
      <c r="L8" s="181"/>
      <c r="M8" s="181"/>
      <c r="N8" s="181"/>
      <c r="O8" s="181"/>
      <c r="P8" s="181"/>
      <c r="Q8" s="182"/>
      <c r="R8" s="181"/>
    </row>
    <row r="9" spans="1:18" ht="28" thickTop="1" thickBot="1">
      <c r="B9" s="193"/>
      <c r="C9" s="193"/>
      <c r="D9" s="193"/>
      <c r="E9" s="193" t="s">
        <v>78</v>
      </c>
      <c r="F9" s="193"/>
      <c r="G9" s="194"/>
      <c r="H9" s="181"/>
      <c r="I9" s="194"/>
      <c r="J9" s="195" t="s">
        <v>79</v>
      </c>
      <c r="K9" s="196"/>
      <c r="L9" s="196"/>
      <c r="M9" s="197"/>
      <c r="N9" s="194"/>
      <c r="O9" s="195" t="s">
        <v>80</v>
      </c>
      <c r="P9" s="196"/>
      <c r="Q9" s="197"/>
      <c r="R9" s="198"/>
    </row>
    <row r="10" spans="1:18" ht="27" thickTop="1" thickBot="1">
      <c r="B10" s="199"/>
      <c r="C10" s="199"/>
      <c r="D10" s="199"/>
      <c r="E10" s="199"/>
      <c r="F10" s="199"/>
      <c r="G10" s="181"/>
      <c r="H10" s="181"/>
      <c r="I10" s="181"/>
      <c r="J10" s="192"/>
      <c r="K10" s="192"/>
      <c r="L10" s="181"/>
      <c r="M10" s="181"/>
      <c r="N10" s="181"/>
      <c r="O10" s="181"/>
      <c r="P10" s="181"/>
      <c r="Q10" s="182"/>
      <c r="R10" s="181"/>
    </row>
    <row r="11" spans="1:18" ht="50">
      <c r="B11" s="200" t="s">
        <v>81</v>
      </c>
      <c r="C11" s="201"/>
      <c r="D11" s="201"/>
      <c r="E11" s="201"/>
      <c r="F11" s="202"/>
      <c r="G11" s="203"/>
      <c r="H11" s="204" t="s">
        <v>82</v>
      </c>
      <c r="I11" s="203"/>
      <c r="J11" s="205" t="s">
        <v>83</v>
      </c>
      <c r="K11" s="206" t="s">
        <v>84</v>
      </c>
      <c r="L11" s="207" t="s">
        <v>85</v>
      </c>
      <c r="M11" s="208" t="s">
        <v>86</v>
      </c>
      <c r="N11" s="203"/>
      <c r="O11" s="205" t="s">
        <v>87</v>
      </c>
      <c r="P11" s="209" t="s">
        <v>83</v>
      </c>
      <c r="Q11" s="208" t="s">
        <v>88</v>
      </c>
      <c r="R11" s="203"/>
    </row>
    <row r="12" spans="1:18">
      <c r="B12" s="210"/>
      <c r="C12" s="211"/>
      <c r="D12" s="211"/>
      <c r="E12" s="211"/>
      <c r="F12" s="212"/>
      <c r="G12" s="203"/>
      <c r="H12" s="213"/>
      <c r="I12" s="203"/>
      <c r="J12" s="214">
        <v>45163</v>
      </c>
      <c r="K12" s="215"/>
      <c r="L12" s="216"/>
      <c r="M12" s="217"/>
      <c r="N12" s="203"/>
      <c r="O12" s="214"/>
      <c r="P12" s="218"/>
      <c r="Q12" s="219"/>
      <c r="R12" s="203"/>
    </row>
    <row r="13" spans="1:18" ht="26.5" thickBot="1">
      <c r="B13" s="220"/>
      <c r="C13" s="221"/>
      <c r="D13" s="221"/>
      <c r="E13" s="221"/>
      <c r="F13" s="222"/>
      <c r="G13" s="223"/>
      <c r="H13" s="224"/>
      <c r="I13" s="223"/>
      <c r="J13" s="225" t="s">
        <v>89</v>
      </c>
      <c r="K13" s="226" t="s">
        <v>90</v>
      </c>
      <c r="L13" s="227" t="s">
        <v>91</v>
      </c>
      <c r="M13" s="228" t="s">
        <v>92</v>
      </c>
      <c r="N13" s="223"/>
      <c r="O13" s="229" t="s">
        <v>93</v>
      </c>
      <c r="P13" s="230" t="s">
        <v>94</v>
      </c>
      <c r="Q13" s="231" t="s">
        <v>95</v>
      </c>
      <c r="R13" s="223"/>
    </row>
    <row r="14" spans="1:18" s="245" customFormat="1" ht="41.25" customHeight="1" thickBot="1">
      <c r="A14" s="170"/>
      <c r="B14" s="232"/>
      <c r="C14" s="233"/>
      <c r="D14" s="233"/>
      <c r="E14" s="233"/>
      <c r="F14" s="234"/>
      <c r="G14" s="235"/>
      <c r="H14" s="236"/>
      <c r="I14" s="235"/>
      <c r="J14" s="237"/>
      <c r="K14" s="238"/>
      <c r="L14" s="239"/>
      <c r="M14" s="240"/>
      <c r="N14" s="241"/>
      <c r="O14" s="242"/>
      <c r="P14" s="243"/>
      <c r="Q14" s="244"/>
      <c r="R14" s="235"/>
    </row>
    <row r="15" spans="1:18" s="245" customFormat="1" ht="114" customHeight="1" thickBot="1">
      <c r="A15" s="170"/>
      <c r="B15" s="246" t="str">
        <f>[1]c!E2</f>
        <v>ANNEX 4 :  ITEMIZED COST ESTIMATE/B U D G E T FOR GAVI HSS ACTIVITIES (APRIL TO JUNE 2024)</v>
      </c>
      <c r="C15" s="247"/>
      <c r="D15" s="247"/>
      <c r="E15" s="247"/>
      <c r="F15" s="248"/>
      <c r="G15" s="249"/>
      <c r="H15" s="250"/>
      <c r="I15" s="249"/>
      <c r="J15" s="251"/>
      <c r="K15" s="252"/>
      <c r="L15" s="239"/>
      <c r="M15" s="240"/>
      <c r="N15" s="235"/>
      <c r="O15" s="253"/>
      <c r="P15" s="254"/>
      <c r="Q15" s="255"/>
      <c r="R15" s="235"/>
    </row>
    <row r="16" spans="1:18" s="245" customFormat="1" ht="69" customHeight="1" thickBot="1">
      <c r="A16" s="256" t="s">
        <v>10</v>
      </c>
      <c r="B16" s="257" t="str">
        <f>IF(A16=0,"",VLOOKUP(A16,[1]c!$B$8:$E$188,4,FALSE))</f>
        <v>Leadership, Management and Coordination</v>
      </c>
      <c r="C16" s="247"/>
      <c r="D16" s="247"/>
      <c r="E16" s="247"/>
      <c r="F16" s="248"/>
      <c r="G16" s="249"/>
      <c r="H16" s="258"/>
      <c r="I16" s="249"/>
      <c r="J16" s="259">
        <f>IF(A16=0,"",VLOOKUP(A16,[1]c!$B$8:$E$188,3,FALSE))</f>
        <v>2440000</v>
      </c>
      <c r="K16" s="260">
        <f>IF(A16=0,"",VLOOKUP(A16,[1]c!$B$8:$E$188,2,FALSE))</f>
        <v>2280000</v>
      </c>
      <c r="L16" s="239"/>
      <c r="M16" s="240"/>
      <c r="N16" s="241"/>
      <c r="O16" s="261"/>
      <c r="P16" s="243"/>
      <c r="Q16" s="244"/>
      <c r="R16" s="235"/>
    </row>
    <row r="17" spans="1:18" s="245" customFormat="1" ht="48.75" customHeight="1" thickBot="1">
      <c r="A17" s="170" t="s">
        <v>28</v>
      </c>
      <c r="B17" s="257" t="str">
        <f>IF(A17=0,"",VLOOKUP(A17,[1]c!$B$8:$E$188,4,FALSE))</f>
        <v>Demand Generation</v>
      </c>
      <c r="C17" s="247"/>
      <c r="D17" s="247"/>
      <c r="E17" s="247"/>
      <c r="F17" s="248"/>
      <c r="G17" s="249"/>
      <c r="H17" s="258"/>
      <c r="I17" s="249"/>
      <c r="J17" s="259">
        <f>IF(A17=0,"",VLOOKUP(A17,[1]c!$B$8:$E$188,3,FALSE))</f>
        <v>23200000</v>
      </c>
      <c r="K17" s="260">
        <f>IF(A17=0,"",VLOOKUP(A17,[1]c!$B$8:$E$188,2,FALSE))</f>
        <v>21280000</v>
      </c>
      <c r="L17" s="239"/>
      <c r="M17" s="240"/>
      <c r="N17" s="241"/>
      <c r="O17" s="261"/>
      <c r="P17" s="243"/>
      <c r="Q17" s="244"/>
      <c r="R17" s="235"/>
    </row>
    <row r="18" spans="1:18" s="245" customFormat="1" ht="59.5" customHeight="1" thickBot="1">
      <c r="A18" s="170" t="s">
        <v>29</v>
      </c>
      <c r="B18" s="257" t="str">
        <f>IF(A18=0,"",VLOOKUP(A18,[1]c!$B$8:$E$188,4,FALSE))</f>
        <v>Human Resource for Health</v>
      </c>
      <c r="C18" s="247"/>
      <c r="D18" s="247"/>
      <c r="E18" s="247"/>
      <c r="F18" s="248"/>
      <c r="G18" s="249"/>
      <c r="H18" s="258"/>
      <c r="I18" s="249"/>
      <c r="J18" s="259">
        <f>IF(A18=0,"",VLOOKUP(A18,[1]c!$B$8:$E$188,3,FALSE))</f>
        <v>2640000</v>
      </c>
      <c r="K18" s="260">
        <f>IF(A18=0,"",VLOOKUP(A18,[1]c!$B$8:$E$188,2,FALSE))</f>
        <v>2640000</v>
      </c>
      <c r="L18" s="239"/>
      <c r="M18" s="240"/>
      <c r="N18" s="241"/>
      <c r="O18" s="261"/>
      <c r="P18" s="243"/>
      <c r="Q18" s="244"/>
      <c r="R18" s="235"/>
    </row>
    <row r="19" spans="1:18" s="245" customFormat="1" ht="63" customHeight="1" thickBot="1">
      <c r="A19" s="170" t="s">
        <v>30</v>
      </c>
      <c r="B19" s="257" t="str">
        <f>IF(A19=0,"",VLOOKUP(A19,[1]c!$B$8:$E$188,4,FALSE))</f>
        <v>Service Delivery</v>
      </c>
      <c r="C19" s="247"/>
      <c r="D19" s="247"/>
      <c r="E19" s="247"/>
      <c r="F19" s="248"/>
      <c r="G19" s="249"/>
      <c r="H19" s="258"/>
      <c r="I19" s="249"/>
      <c r="J19" s="259">
        <f>IF(A19=0,"",VLOOKUP(A19,[1]c!$B$8:$E$188,3,FALSE))</f>
        <v>3280000</v>
      </c>
      <c r="K19" s="260">
        <f>IF(A19=0,"",VLOOKUP(A19,[1]c!$B$8:$E$188,2,FALSE))</f>
        <v>3280000</v>
      </c>
      <c r="L19" s="239"/>
      <c r="M19" s="240"/>
      <c r="N19" s="241"/>
      <c r="O19" s="261"/>
      <c r="P19" s="243"/>
      <c r="Q19" s="244"/>
      <c r="R19" s="235"/>
    </row>
    <row r="20" spans="1:18" s="245" customFormat="1" ht="42.75" customHeight="1" thickBot="1">
      <c r="A20" s="170" t="s">
        <v>31</v>
      </c>
      <c r="B20" s="257" t="str">
        <f>IF(A20=0,"",VLOOKUP(A20,[1]c!$B$8:$E$188,4,FALSE))</f>
        <v>Supply Chain</v>
      </c>
      <c r="C20" s="247"/>
      <c r="D20" s="247"/>
      <c r="E20" s="247"/>
      <c r="F20" s="248"/>
      <c r="G20" s="249"/>
      <c r="H20" s="258"/>
      <c r="I20" s="249"/>
      <c r="J20" s="259">
        <f>IF(A20=0,"",VLOOKUP(A20,[1]c!$B$8:$E$188,3,FALSE))</f>
        <v>2640000</v>
      </c>
      <c r="K20" s="260">
        <f>IF(A20=0,"",VLOOKUP(A20,[1]c!$B$8:$E$188,2,FALSE))</f>
        <v>2640000</v>
      </c>
      <c r="L20" s="239"/>
      <c r="M20" s="240"/>
      <c r="N20" s="241"/>
      <c r="O20" s="261"/>
      <c r="P20" s="243"/>
      <c r="Q20" s="244"/>
      <c r="R20" s="235"/>
    </row>
    <row r="21" spans="1:18" s="245" customFormat="1" ht="68.150000000000006" customHeight="1" thickBot="1">
      <c r="A21" s="170" t="s">
        <v>32</v>
      </c>
      <c r="B21" s="257" t="str">
        <f>IF(A21=0,"",VLOOKUP(A21,[1]c!$B$8:$E$188,4,FALSE))</f>
        <v>Health Financing</v>
      </c>
      <c r="C21" s="247"/>
      <c r="D21" s="247"/>
      <c r="E21" s="247"/>
      <c r="F21" s="248"/>
      <c r="G21" s="262"/>
      <c r="H21" s="258"/>
      <c r="I21" s="262"/>
      <c r="J21" s="259">
        <f>IF(A21=0,"",VLOOKUP(A21,[1]c!$B$8:$E$188,3,FALSE))</f>
        <v>3120000</v>
      </c>
      <c r="K21" s="260">
        <f>IF(A21=0,"",VLOOKUP(A21,[1]c!$B$8:$E$188,2,FALSE))</f>
        <v>3120000</v>
      </c>
      <c r="L21" s="239"/>
      <c r="M21" s="240"/>
      <c r="N21" s="241"/>
      <c r="O21" s="261"/>
      <c r="P21" s="243"/>
      <c r="Q21" s="244"/>
      <c r="R21" s="235"/>
    </row>
    <row r="22" spans="1:18" s="245" customFormat="1" ht="43" customHeight="1" thickBot="1">
      <c r="A22" s="170" t="s">
        <v>33</v>
      </c>
      <c r="B22" s="257" t="str">
        <f>IF(A22=0,"",VLOOKUP(A22,[1]c!$B$8:$E$188,4,FALSE))</f>
        <v>Health Information Management System</v>
      </c>
      <c r="C22" s="247"/>
      <c r="D22" s="247"/>
      <c r="E22" s="247"/>
      <c r="F22" s="248"/>
      <c r="G22" s="262"/>
      <c r="H22" s="258"/>
      <c r="I22" s="262"/>
      <c r="J22" s="259">
        <f>IF(A22=0,"",VLOOKUP(A22,[1]c!$B$8:$E$188,3,FALSE))</f>
        <v>2640000</v>
      </c>
      <c r="K22" s="260">
        <f>IF(A22=0,"",VLOOKUP(A22,[1]c!$B$8:$E$188,2,FALSE))</f>
        <v>2640000</v>
      </c>
      <c r="L22" s="239"/>
      <c r="M22" s="240"/>
      <c r="N22" s="241"/>
      <c r="O22" s="261"/>
      <c r="P22" s="263"/>
      <c r="Q22" s="244"/>
      <c r="R22" s="235"/>
    </row>
    <row r="23" spans="1:18" s="245" customFormat="1" ht="43" customHeight="1" thickBot="1">
      <c r="A23" s="170" t="s">
        <v>29</v>
      </c>
      <c r="B23" s="257" t="str">
        <f>IF(A23=0,"",VLOOKUP(A23,[1]c!$B$8:$E$188,4,FALSE))</f>
        <v>Human Resource for Health</v>
      </c>
      <c r="C23" s="247"/>
      <c r="D23" s="247"/>
      <c r="E23" s="247"/>
      <c r="F23" s="248"/>
      <c r="G23" s="262"/>
      <c r="H23" s="258"/>
      <c r="I23" s="262"/>
      <c r="J23" s="259">
        <f>IF(A23=0,"",VLOOKUP(A23,[1]c!$B$8:$E$188,3,FALSE))</f>
        <v>2640000</v>
      </c>
      <c r="K23" s="260">
        <f>IF(A23=0,"",VLOOKUP(A23,[1]c!$B$8:$E$188,2,FALSE))</f>
        <v>2640000</v>
      </c>
      <c r="L23" s="239"/>
      <c r="M23" s="240"/>
      <c r="N23" s="241"/>
      <c r="O23" s="261" t="s">
        <v>96</v>
      </c>
      <c r="P23" s="263"/>
      <c r="Q23" s="244"/>
      <c r="R23" s="235"/>
    </row>
    <row r="24" spans="1:18" s="245" customFormat="1" ht="42" customHeight="1">
      <c r="A24" s="170">
        <v>0</v>
      </c>
      <c r="B24" s="257" t="str">
        <f>IF(A24=0,"",VLOOKUP(A24,[1]c!$B$8:$E$188,4,FALSE))</f>
        <v/>
      </c>
      <c r="C24" s="247"/>
      <c r="D24" s="247"/>
      <c r="E24" s="247"/>
      <c r="F24" s="248"/>
      <c r="G24" s="249"/>
      <c r="H24" s="258"/>
      <c r="I24" s="249"/>
      <c r="J24" s="259" t="str">
        <f>IF(A24=0,"",VLOOKUP(A24,[1]c!$B$8:$E$188,3,FALSE))</f>
        <v/>
      </c>
      <c r="K24" s="260" t="str">
        <f>IF(A24=0,"",VLOOKUP(A24,[1]c!$B$8:$E$188,2,FALSE))</f>
        <v/>
      </c>
      <c r="L24" s="239"/>
      <c r="M24" s="240"/>
      <c r="N24" s="241"/>
      <c r="O24" s="261" t="s">
        <v>96</v>
      </c>
      <c r="P24" s="263"/>
      <c r="Q24" s="244"/>
      <c r="R24" s="235"/>
    </row>
    <row r="25" spans="1:18" s="245" customFormat="1" ht="41.5" customHeight="1" thickBot="1">
      <c r="A25" s="170"/>
      <c r="B25" s="264"/>
      <c r="C25" s="265"/>
      <c r="D25" s="265"/>
      <c r="E25" s="265"/>
      <c r="F25" s="266"/>
      <c r="G25" s="235"/>
      <c r="H25" s="267"/>
      <c r="I25" s="235"/>
      <c r="J25" s="268"/>
      <c r="K25" s="269"/>
      <c r="L25" s="270"/>
      <c r="M25" s="271"/>
      <c r="N25" s="272"/>
      <c r="O25" s="273"/>
      <c r="P25" s="274"/>
      <c r="Q25" s="275"/>
      <c r="R25" s="235"/>
    </row>
    <row r="26" spans="1:18" s="245" customFormat="1" ht="43.5" customHeight="1" thickBot="1">
      <c r="A26" s="170"/>
      <c r="B26" s="276" t="s">
        <v>16</v>
      </c>
      <c r="C26" s="277"/>
      <c r="D26" s="277"/>
      <c r="E26" s="277"/>
      <c r="F26" s="278"/>
      <c r="G26" s="279"/>
      <c r="H26" s="280"/>
      <c r="I26" s="279"/>
      <c r="J26" s="281">
        <f>SUM(J15:J25)</f>
        <v>42600000</v>
      </c>
      <c r="K26" s="281">
        <f>SUM(K15:K25)</f>
        <v>40520000</v>
      </c>
      <c r="L26" s="282"/>
      <c r="M26" s="282"/>
      <c r="N26" s="283"/>
      <c r="O26" s="284">
        <f>SUM(O15:O25)</f>
        <v>0</v>
      </c>
      <c r="P26" s="285"/>
      <c r="Q26" s="285"/>
      <c r="R26" s="279"/>
    </row>
    <row r="27" spans="1:18">
      <c r="B27" s="286"/>
      <c r="C27" s="286"/>
      <c r="D27" s="286"/>
      <c r="E27" s="286"/>
      <c r="F27" s="286"/>
      <c r="G27" s="287"/>
      <c r="H27" s="287"/>
      <c r="I27" s="287"/>
      <c r="J27" s="288"/>
      <c r="K27" s="289"/>
      <c r="L27" s="288"/>
      <c r="M27" s="289"/>
      <c r="N27" s="289"/>
      <c r="O27" s="289"/>
      <c r="P27" s="289"/>
      <c r="Q27" s="290"/>
      <c r="R27" s="287"/>
    </row>
    <row r="28" spans="1:18">
      <c r="B28" s="291" t="s">
        <v>97</v>
      </c>
      <c r="C28" s="181"/>
      <c r="D28" s="181"/>
      <c r="E28" s="181"/>
      <c r="F28" s="181"/>
      <c r="G28" s="181"/>
      <c r="H28" s="181"/>
      <c r="I28" s="181"/>
      <c r="J28" s="181"/>
      <c r="K28" s="292"/>
      <c r="L28" s="292"/>
      <c r="M28" s="181"/>
      <c r="N28" s="181"/>
      <c r="O28" s="1"/>
      <c r="P28" s="181"/>
      <c r="Q28" s="182"/>
      <c r="R28" s="181"/>
    </row>
    <row r="29" spans="1:18">
      <c r="B29" s="181" t="s">
        <v>98</v>
      </c>
      <c r="C29" s="173"/>
      <c r="D29" s="181"/>
      <c r="E29" s="181"/>
      <c r="F29" s="181"/>
      <c r="G29" s="181"/>
      <c r="H29" s="181"/>
      <c r="I29" s="181"/>
      <c r="J29" s="181"/>
      <c r="K29" s="292"/>
      <c r="L29" s="292"/>
      <c r="M29" s="181"/>
      <c r="N29" s="181"/>
      <c r="O29" s="181"/>
      <c r="P29" s="181"/>
      <c r="Q29" s="182"/>
      <c r="R29" s="181"/>
    </row>
    <row r="30" spans="1:18">
      <c r="B30" s="293" t="s">
        <v>99</v>
      </c>
      <c r="C30" s="294" t="s">
        <v>100</v>
      </c>
      <c r="D30" s="294"/>
      <c r="E30" s="294"/>
      <c r="F30" s="294"/>
      <c r="G30" s="294"/>
      <c r="H30" s="294"/>
      <c r="I30" s="294"/>
      <c r="J30" s="294"/>
      <c r="K30" s="294"/>
      <c r="L30" s="294"/>
      <c r="M30" s="294"/>
      <c r="N30" s="294"/>
      <c r="O30" s="294"/>
      <c r="P30" s="294"/>
      <c r="Q30" s="294"/>
      <c r="R30" s="181"/>
    </row>
    <row r="31" spans="1:18" ht="52" customHeight="1">
      <c r="B31" s="293" t="s">
        <v>101</v>
      </c>
      <c r="C31" s="294" t="s">
        <v>102</v>
      </c>
      <c r="D31" s="294"/>
      <c r="E31" s="294"/>
      <c r="F31" s="294"/>
      <c r="G31" s="294"/>
      <c r="H31" s="294"/>
      <c r="I31" s="294"/>
      <c r="J31" s="294"/>
      <c r="K31" s="294"/>
      <c r="L31" s="294"/>
      <c r="M31" s="294"/>
      <c r="N31" s="294"/>
      <c r="O31" s="294"/>
      <c r="P31" s="294"/>
      <c r="Q31" s="294"/>
      <c r="R31" s="181"/>
    </row>
    <row r="32" spans="1:18">
      <c r="B32" s="181" t="s">
        <v>103</v>
      </c>
      <c r="C32" s="181"/>
      <c r="D32" s="181"/>
      <c r="E32" s="295"/>
      <c r="F32" s="295"/>
      <c r="G32" s="181"/>
      <c r="H32" s="181"/>
      <c r="I32" s="181"/>
      <c r="J32" s="296" t="s">
        <v>104</v>
      </c>
      <c r="K32" s="297"/>
      <c r="L32" s="297"/>
      <c r="M32" s="298" t="s">
        <v>105</v>
      </c>
      <c r="N32" s="299"/>
      <c r="O32" s="300"/>
      <c r="P32" s="301"/>
      <c r="Q32" s="301" t="s">
        <v>106</v>
      </c>
      <c r="R32" s="173"/>
    </row>
    <row r="33" spans="2:18">
      <c r="B33" s="181"/>
      <c r="C33" s="181"/>
      <c r="D33" s="181"/>
      <c r="E33" s="181"/>
      <c r="F33" s="181"/>
      <c r="G33" s="181"/>
      <c r="H33" s="181"/>
      <c r="I33" s="181"/>
      <c r="J33" s="302"/>
      <c r="K33" s="181"/>
      <c r="L33" s="181"/>
      <c r="M33" s="181"/>
      <c r="N33" s="181"/>
      <c r="O33" s="173"/>
      <c r="P33" s="173"/>
      <c r="Q33" s="303"/>
      <c r="R33" s="173"/>
    </row>
    <row r="34" spans="2:18">
      <c r="B34" s="304" t="s">
        <v>107</v>
      </c>
      <c r="C34" s="304"/>
      <c r="D34" s="194" t="s">
        <v>108</v>
      </c>
      <c r="E34" s="181"/>
      <c r="F34" s="181"/>
      <c r="G34" s="181"/>
      <c r="H34" s="181"/>
      <c r="I34" s="181"/>
      <c r="J34" s="305"/>
      <c r="K34" s="188"/>
      <c r="L34" s="188"/>
      <c r="M34" s="181"/>
      <c r="N34" s="181"/>
      <c r="O34" s="173"/>
      <c r="P34" s="173"/>
      <c r="Q34" s="303"/>
      <c r="R34" s="173"/>
    </row>
    <row r="35" spans="2:18" ht="26.5" thickBot="1">
      <c r="B35" s="306"/>
      <c r="C35" s="307"/>
      <c r="D35" s="308"/>
      <c r="E35" s="308"/>
      <c r="F35" s="308"/>
      <c r="G35" s="308"/>
      <c r="H35" s="308"/>
      <c r="I35" s="308"/>
      <c r="J35" s="308"/>
      <c r="K35" s="308"/>
      <c r="L35" s="308"/>
      <c r="M35" s="308"/>
      <c r="N35" s="308"/>
      <c r="O35" s="308"/>
      <c r="P35" s="308"/>
      <c r="Q35" s="308"/>
      <c r="R35" s="173"/>
    </row>
    <row r="36" spans="2:18" ht="26.5" thickTop="1">
      <c r="B36" s="181"/>
      <c r="C36" s="181"/>
      <c r="D36" s="181"/>
      <c r="E36" s="181"/>
      <c r="F36" s="181"/>
      <c r="G36" s="181"/>
      <c r="H36" s="181"/>
      <c r="I36" s="181"/>
      <c r="J36" s="305"/>
      <c r="K36" s="188"/>
      <c r="L36" s="188"/>
      <c r="M36" s="181"/>
      <c r="N36" s="181"/>
      <c r="O36" s="173"/>
      <c r="P36" s="173"/>
      <c r="Q36" s="303"/>
      <c r="R36" s="173"/>
    </row>
    <row r="37" spans="2:18" ht="26.5" thickBot="1">
      <c r="B37" s="291" t="s">
        <v>109</v>
      </c>
      <c r="C37" s="181"/>
      <c r="D37" s="181"/>
      <c r="E37" s="181"/>
      <c r="F37" s="181"/>
      <c r="G37" s="181"/>
      <c r="H37" s="181"/>
      <c r="I37" s="181"/>
      <c r="J37" s="305"/>
      <c r="K37" s="188"/>
      <c r="L37" s="188"/>
      <c r="M37" s="181"/>
      <c r="N37" s="181"/>
      <c r="O37" s="173"/>
      <c r="P37" s="173"/>
      <c r="Q37" s="303"/>
      <c r="R37" s="173"/>
    </row>
    <row r="38" spans="2:18" ht="26.5" thickBot="1">
      <c r="B38" s="309" t="s">
        <v>110</v>
      </c>
      <c r="C38" s="310"/>
      <c r="D38" s="310"/>
      <c r="E38" s="310"/>
      <c r="F38" s="311"/>
      <c r="G38" s="312"/>
      <c r="H38" s="312"/>
      <c r="I38" s="309" t="s">
        <v>111</v>
      </c>
      <c r="J38" s="310"/>
      <c r="K38" s="310"/>
      <c r="L38" s="310"/>
      <c r="M38" s="311"/>
      <c r="N38" s="312"/>
      <c r="O38" s="309" t="s">
        <v>112</v>
      </c>
      <c r="P38" s="311"/>
      <c r="Q38" s="194"/>
      <c r="R38" s="194"/>
    </row>
    <row r="39" spans="2:18" ht="26.5" thickBot="1">
      <c r="B39" s="313" t="s">
        <v>97</v>
      </c>
      <c r="C39" s="314"/>
      <c r="D39" s="314"/>
      <c r="E39" s="314"/>
      <c r="F39" s="315"/>
      <c r="G39" s="173"/>
      <c r="H39" s="173"/>
      <c r="I39" s="313" t="s">
        <v>113</v>
      </c>
      <c r="J39" s="316"/>
      <c r="K39" s="317"/>
      <c r="L39" s="313" t="s">
        <v>114</v>
      </c>
      <c r="M39" s="317"/>
      <c r="N39" s="173"/>
      <c r="O39" s="318" t="s">
        <v>115</v>
      </c>
      <c r="P39" s="319"/>
      <c r="Q39" s="194"/>
      <c r="R39" s="194"/>
    </row>
    <row r="40" spans="2:18" ht="35.25" customHeight="1">
      <c r="B40" s="320" t="s">
        <v>116</v>
      </c>
      <c r="C40" s="173"/>
      <c r="D40" s="194" t="s">
        <v>117</v>
      </c>
      <c r="E40" s="194"/>
      <c r="F40" s="321"/>
      <c r="G40" s="173"/>
      <c r="H40" s="173"/>
      <c r="I40" s="322" t="s">
        <v>118</v>
      </c>
      <c r="J40" s="323"/>
      <c r="K40" s="324"/>
      <c r="L40" s="325" t="s">
        <v>119</v>
      </c>
      <c r="M40" s="326"/>
      <c r="N40" s="173"/>
      <c r="O40" s="325"/>
      <c r="P40" s="326"/>
      <c r="Q40" s="327"/>
      <c r="R40" s="327"/>
    </row>
    <row r="41" spans="2:18" ht="49" customHeight="1">
      <c r="B41" s="328" t="s">
        <v>120</v>
      </c>
      <c r="C41" s="173"/>
      <c r="D41" s="194" t="s">
        <v>117</v>
      </c>
      <c r="E41" s="194"/>
      <c r="F41" s="321"/>
      <c r="G41" s="181"/>
      <c r="H41" s="173"/>
      <c r="I41" s="329" t="s">
        <v>121</v>
      </c>
      <c r="J41" s="330"/>
      <c r="K41" s="331"/>
      <c r="L41" s="332" t="s">
        <v>122</v>
      </c>
      <c r="M41" s="333"/>
      <c r="N41" s="173"/>
      <c r="O41" s="334" t="s">
        <v>123</v>
      </c>
      <c r="P41" s="335">
        <v>0</v>
      </c>
      <c r="Q41" s="182"/>
      <c r="R41" s="182"/>
    </row>
    <row r="42" spans="2:18" ht="38.25" customHeight="1" thickBot="1">
      <c r="B42" s="336" t="s">
        <v>124</v>
      </c>
      <c r="C42" s="337"/>
      <c r="D42" s="338" t="s">
        <v>117</v>
      </c>
      <c r="E42" s="338"/>
      <c r="F42" s="339"/>
      <c r="G42" s="181"/>
      <c r="H42" s="173"/>
      <c r="I42" s="340"/>
      <c r="J42" s="341"/>
      <c r="K42" s="342"/>
      <c r="L42" s="343"/>
      <c r="M42" s="344"/>
      <c r="N42" s="173"/>
      <c r="O42" s="328"/>
      <c r="P42" s="345"/>
      <c r="Q42" s="346"/>
      <c r="R42" s="346"/>
    </row>
    <row r="43" spans="2:18" ht="33" customHeight="1" thickBot="1">
      <c r="B43" s="336" t="s">
        <v>125</v>
      </c>
      <c r="C43" s="337"/>
      <c r="D43" s="338"/>
      <c r="E43" s="338"/>
      <c r="F43" s="339"/>
      <c r="G43" s="181"/>
      <c r="H43" s="173"/>
      <c r="I43" s="334" t="s">
        <v>126</v>
      </c>
      <c r="J43" s="182"/>
      <c r="K43" s="335"/>
      <c r="L43" s="320" t="s">
        <v>127</v>
      </c>
      <c r="M43" s="345">
        <v>0</v>
      </c>
      <c r="N43" s="173"/>
      <c r="O43" s="328" t="s">
        <v>128</v>
      </c>
      <c r="P43" s="345">
        <v>0</v>
      </c>
      <c r="Q43" s="346"/>
      <c r="R43" s="346"/>
    </row>
    <row r="44" spans="2:18">
      <c r="B44" s="320" t="s">
        <v>116</v>
      </c>
      <c r="C44" s="173"/>
      <c r="D44" s="194" t="s">
        <v>117</v>
      </c>
      <c r="E44" s="194"/>
      <c r="F44" s="321"/>
      <c r="G44" s="181"/>
      <c r="H44" s="173"/>
      <c r="I44" s="328" t="s">
        <v>129</v>
      </c>
      <c r="J44" s="346"/>
      <c r="K44" s="345">
        <v>0</v>
      </c>
      <c r="L44" s="328" t="s">
        <v>130</v>
      </c>
      <c r="M44" s="345"/>
      <c r="N44" s="173"/>
      <c r="O44" s="328"/>
      <c r="P44" s="345"/>
      <c r="Q44" s="346"/>
      <c r="R44" s="346"/>
    </row>
    <row r="45" spans="2:18">
      <c r="B45" s="328"/>
      <c r="C45" s="173"/>
      <c r="D45" s="194"/>
      <c r="E45" s="194"/>
      <c r="F45" s="321"/>
      <c r="G45" s="181"/>
      <c r="H45" s="173"/>
      <c r="I45" s="328" t="s">
        <v>131</v>
      </c>
      <c r="J45" s="346"/>
      <c r="K45" s="345">
        <v>0</v>
      </c>
      <c r="L45" s="320" t="s">
        <v>132</v>
      </c>
      <c r="M45" s="345"/>
      <c r="N45" s="173"/>
      <c r="O45" s="328"/>
      <c r="P45" s="345"/>
      <c r="Q45" s="346"/>
      <c r="R45" s="346"/>
    </row>
    <row r="46" spans="2:18">
      <c r="B46" s="328" t="s">
        <v>120</v>
      </c>
      <c r="C46" s="173"/>
      <c r="D46" s="194" t="s">
        <v>117</v>
      </c>
      <c r="E46" s="194"/>
      <c r="F46" s="321"/>
      <c r="G46" s="181"/>
      <c r="H46" s="173"/>
      <c r="I46" s="328" t="s">
        <v>133</v>
      </c>
      <c r="J46" s="346"/>
      <c r="K46" s="345">
        <v>0</v>
      </c>
      <c r="L46" s="328" t="s">
        <v>134</v>
      </c>
      <c r="M46" s="347">
        <v>0</v>
      </c>
      <c r="N46" s="173"/>
      <c r="O46" s="328"/>
      <c r="P46" s="345"/>
      <c r="Q46" s="346"/>
      <c r="R46" s="346"/>
    </row>
    <row r="47" spans="2:18">
      <c r="B47" s="328"/>
      <c r="C47" s="173"/>
      <c r="D47" s="194"/>
      <c r="E47" s="194"/>
      <c r="F47" s="321"/>
      <c r="G47" s="181"/>
      <c r="H47" s="173"/>
      <c r="I47" s="328" t="s">
        <v>135</v>
      </c>
      <c r="J47" s="346"/>
      <c r="K47" s="348">
        <v>0</v>
      </c>
      <c r="L47" s="328"/>
      <c r="M47" s="348"/>
      <c r="N47" s="173"/>
      <c r="O47" s="328"/>
      <c r="P47" s="348"/>
      <c r="Q47" s="346"/>
      <c r="R47" s="346"/>
    </row>
    <row r="48" spans="2:18" ht="26.5" thickBot="1">
      <c r="B48" s="328" t="s">
        <v>124</v>
      </c>
      <c r="C48" s="173"/>
      <c r="D48" s="194" t="s">
        <v>117</v>
      </c>
      <c r="E48" s="194"/>
      <c r="F48" s="321"/>
      <c r="G48" s="181"/>
      <c r="H48" s="173"/>
      <c r="I48" s="328" t="s">
        <v>16</v>
      </c>
      <c r="J48" s="346"/>
      <c r="K48" s="349">
        <f>SUM(K44:K47)</f>
        <v>0</v>
      </c>
      <c r="L48" s="328" t="s">
        <v>86</v>
      </c>
      <c r="M48" s="349">
        <f>+M43+M46</f>
        <v>0</v>
      </c>
      <c r="N48" s="173"/>
      <c r="O48" s="328" t="s">
        <v>16</v>
      </c>
      <c r="P48" s="349">
        <f>+P42+P46</f>
        <v>0</v>
      </c>
      <c r="Q48" s="346"/>
      <c r="R48" s="346"/>
    </row>
    <row r="49" spans="2:18" ht="29.25" customHeight="1" thickTop="1" thickBot="1">
      <c r="B49" s="336"/>
      <c r="C49" s="338"/>
      <c r="D49" s="338"/>
      <c r="E49" s="338"/>
      <c r="F49" s="339"/>
      <c r="G49" s="181"/>
      <c r="H49" s="173"/>
      <c r="I49" s="336"/>
      <c r="J49" s="350"/>
      <c r="K49" s="351"/>
      <c r="L49" s="350"/>
      <c r="M49" s="339"/>
      <c r="N49" s="173"/>
      <c r="O49" s="336"/>
      <c r="P49" s="351"/>
      <c r="Q49" s="346"/>
      <c r="R49" s="346"/>
    </row>
    <row r="50" spans="2:18">
      <c r="B50" s="173"/>
      <c r="C50" s="173"/>
      <c r="D50" s="173"/>
      <c r="E50" s="173"/>
      <c r="F50" s="173"/>
      <c r="G50" s="173"/>
      <c r="H50" s="173"/>
      <c r="I50" s="173"/>
      <c r="J50" s="173"/>
      <c r="K50" s="173"/>
      <c r="L50" s="173"/>
      <c r="M50" s="173"/>
      <c r="N50" s="173"/>
      <c r="O50" s="173"/>
      <c r="P50" s="173"/>
      <c r="Q50" s="303"/>
      <c r="R50" s="173"/>
    </row>
    <row r="51" spans="2:18">
      <c r="B51" s="173"/>
      <c r="C51" s="173"/>
      <c r="D51" s="173"/>
      <c r="E51" s="173"/>
      <c r="F51" s="173"/>
      <c r="G51" s="173"/>
      <c r="H51" s="173"/>
      <c r="I51" s="173"/>
      <c r="J51" s="173"/>
      <c r="K51" s="173"/>
      <c r="L51" s="173"/>
      <c r="M51" s="173"/>
      <c r="N51" s="173"/>
      <c r="O51" s="173"/>
      <c r="P51" s="173"/>
      <c r="Q51" s="303"/>
      <c r="R51" s="173"/>
    </row>
    <row r="52" spans="2:18">
      <c r="B52" s="173"/>
      <c r="C52" s="173"/>
      <c r="D52" s="173"/>
      <c r="E52" s="173"/>
      <c r="F52" s="173"/>
      <c r="G52" s="173"/>
      <c r="H52" s="173" t="s">
        <v>106</v>
      </c>
      <c r="I52" s="173"/>
      <c r="J52" s="173"/>
      <c r="K52" s="173"/>
      <c r="L52" s="173"/>
      <c r="M52" s="173"/>
      <c r="N52" s="173"/>
      <c r="O52" s="173"/>
      <c r="P52" s="173"/>
      <c r="Q52" s="303"/>
      <c r="R52" s="173"/>
    </row>
    <row r="54" spans="2:18">
      <c r="B54" s="173"/>
      <c r="C54" s="173"/>
      <c r="D54" s="173"/>
      <c r="E54" s="173"/>
      <c r="F54" s="173"/>
      <c r="G54" s="173"/>
      <c r="H54" s="173" t="s">
        <v>106</v>
      </c>
      <c r="I54" s="173"/>
      <c r="J54" s="173"/>
      <c r="K54" s="173"/>
      <c r="L54" s="173"/>
      <c r="M54" s="173"/>
      <c r="N54" s="173"/>
      <c r="O54" s="173"/>
      <c r="P54" s="173"/>
      <c r="Q54" s="303"/>
      <c r="R54" s="173"/>
    </row>
  </sheetData>
  <sheetProtection algorithmName="SHA-512" hashValue="AVRE6Gm4rm+GbUt4EWcTAvjjXYL54zKSlKzGFmpd1ERvT5yyoNoO81Du4K1NfpCkmEjxN0IOv/T5bCFi9DIsqg==" saltValue="9DCifEWp1LUQLSIATS3goA==" spinCount="100000" sheet="1"/>
  <mergeCells count="43">
    <mergeCell ref="B38:F38"/>
    <mergeCell ref="I38:M38"/>
    <mergeCell ref="O38:P38"/>
    <mergeCell ref="I40:K40"/>
    <mergeCell ref="I41:K41"/>
    <mergeCell ref="I42:K42"/>
    <mergeCell ref="B27:F27"/>
    <mergeCell ref="C30:Q30"/>
    <mergeCell ref="C31:Q31"/>
    <mergeCell ref="E32:F32"/>
    <mergeCell ref="K32:L32"/>
    <mergeCell ref="B34:C34"/>
    <mergeCell ref="B21:F21"/>
    <mergeCell ref="B22:F22"/>
    <mergeCell ref="B23:F23"/>
    <mergeCell ref="B24:F24"/>
    <mergeCell ref="B25:F25"/>
    <mergeCell ref="B26:F26"/>
    <mergeCell ref="B15:F15"/>
    <mergeCell ref="B16:F16"/>
    <mergeCell ref="B17:F17"/>
    <mergeCell ref="B18:F18"/>
    <mergeCell ref="B19:F19"/>
    <mergeCell ref="B20:F20"/>
    <mergeCell ref="J9:M9"/>
    <mergeCell ref="O9:Q9"/>
    <mergeCell ref="B10:F10"/>
    <mergeCell ref="B11:F13"/>
    <mergeCell ref="H11:H13"/>
    <mergeCell ref="B14:F14"/>
    <mergeCell ref="B5:D5"/>
    <mergeCell ref="B6:D6"/>
    <mergeCell ref="B7:D7"/>
    <mergeCell ref="B8:D8"/>
    <mergeCell ref="E8:F8"/>
    <mergeCell ref="B9:D9"/>
    <mergeCell ref="E9:F9"/>
    <mergeCell ref="B1:F1"/>
    <mergeCell ref="B2:D2"/>
    <mergeCell ref="E2:F2"/>
    <mergeCell ref="B3:D3"/>
    <mergeCell ref="E3:F3"/>
    <mergeCell ref="B4:D4"/>
  </mergeCells>
  <dataValidations count="5">
    <dataValidation type="list" allowBlank="1" showInputMessage="1" showErrorMessage="1" sqref="A16:A24" xr:uid="{3A854765-59F8-4040-958C-461BA4589051}">
      <formula1>".A.,.B.,.C.,.D.,.E.,.F.,.G.,0"</formula1>
    </dataValidation>
    <dataValidation type="list" allowBlank="1" showInputMessage="1" showErrorMessage="1" sqref="P4" xr:uid="{AFAAB746-583F-416A-BA83-69010642FE81}">
      <formula1>"X□  Direct Cash Transfer (DCT),□  Direct Cash Transfer (DCT)"</formula1>
    </dataValidation>
    <dataValidation type="list" allowBlank="1" showInputMessage="1" showErrorMessage="1" sqref="O4 P5" xr:uid="{00B9EE66-072A-497C-A4BE-9AF36603FB6E}">
      <formula1>"X□  Reimbursement, □  Reimbursement"</formula1>
    </dataValidation>
    <dataValidation type="list" allowBlank="1" showInputMessage="1" showErrorMessage="1" sqref="Q6" xr:uid="{043B49E6-2E14-45B2-A1F7-ED70F88DA772}">
      <formula1>"X□  Direct payment, X□  Direct payment"</formula1>
    </dataValidation>
    <dataValidation type="list" allowBlank="1" showInputMessage="1" showErrorMessage="1" sqref="P6" xr:uid="{7B353133-C27B-4C7F-AEBB-F30135321EA8}">
      <formula1>"X□  Direct payment, □  Direct payment"</formula1>
    </dataValidation>
  </dataValidations>
  <pageMargins left="1.2204724409448819" right="3.937007874015748E-2" top="0.78740157480314965" bottom="0.55118110236220474" header="0.31496062992125984" footer="0.31496062992125984"/>
  <pageSetup paperSize="9" scale="2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0]!GotoDatabase1">
                <anchor moveWithCells="1" sizeWithCells="1">
                  <from>
                    <xdr:col>12</xdr:col>
                    <xdr:colOff>762000</xdr:colOff>
                    <xdr:row>2</xdr:row>
                    <xdr:rowOff>76200</xdr:rowOff>
                  </from>
                  <to>
                    <xdr:col>14</xdr:col>
                    <xdr:colOff>266700</xdr:colOff>
                    <xdr:row>4</xdr:row>
                    <xdr:rowOff>158750</xdr:rowOff>
                  </to>
                </anchor>
              </controlPr>
            </control>
          </mc:Choice>
        </mc:AlternateContent>
        <mc:AlternateContent xmlns:mc="http://schemas.openxmlformats.org/markup-compatibility/2006">
          <mc:Choice Requires="x14">
            <control shapeId="3074" r:id="rId5" name="Button 2">
              <controlPr defaultSize="0" print="0" autoFill="0" autoPict="0" macro="[0]!Gotoliquidcoverletter">
                <anchor moveWithCells="1" sizeWithCells="1">
                  <from>
                    <xdr:col>12</xdr:col>
                    <xdr:colOff>781050</xdr:colOff>
                    <xdr:row>4</xdr:row>
                    <xdr:rowOff>222250</xdr:rowOff>
                  </from>
                  <to>
                    <xdr:col>14</xdr:col>
                    <xdr:colOff>222250</xdr:colOff>
                    <xdr:row>7</xdr:row>
                    <xdr:rowOff>31750</xdr:rowOff>
                  </to>
                </anchor>
              </controlPr>
            </control>
          </mc:Choice>
        </mc:AlternateContent>
        <mc:AlternateContent xmlns:mc="http://schemas.openxmlformats.org/markup-compatibility/2006">
          <mc:Choice Requires="x14">
            <control shapeId="3075" r:id="rId6" name="Button 3">
              <controlPr defaultSize="0" print="0" autoFill="0" autoPict="0" macro="[0]!GotoannexIV">
                <anchor moveWithCells="1" sizeWithCells="1">
                  <from>
                    <xdr:col>12</xdr:col>
                    <xdr:colOff>774700</xdr:colOff>
                    <xdr:row>0</xdr:row>
                    <xdr:rowOff>127000</xdr:rowOff>
                  </from>
                  <to>
                    <xdr:col>14</xdr:col>
                    <xdr:colOff>190500</xdr:colOff>
                    <xdr:row>1</xdr:row>
                    <xdr:rowOff>304800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7052D-2CE9-43DA-B9C9-86C1FE925839}">
  <dimension ref="A1:Q34"/>
  <sheetViews>
    <sheetView topLeftCell="A13" workbookViewId="0">
      <selection activeCell="F29" sqref="F29:G29"/>
    </sheetView>
  </sheetViews>
  <sheetFormatPr defaultRowHeight="14.5"/>
  <cols>
    <col min="1" max="1" width="8.81640625" bestFit="1" customWidth="1"/>
    <col min="3" max="6" width="8.81640625" bestFit="1" customWidth="1"/>
    <col min="7" max="7" width="11" bestFit="1" customWidth="1"/>
    <col min="8" max="11" width="8.81640625" bestFit="1" customWidth="1"/>
    <col min="12" max="12" width="11" bestFit="1" customWidth="1"/>
    <col min="13" max="16" width="8.81640625" bestFit="1" customWidth="1"/>
    <col min="17" max="17" width="11" bestFit="1" customWidth="1"/>
  </cols>
  <sheetData>
    <row r="1" spans="1:17" ht="15" thickBot="1">
      <c r="A1" s="5"/>
      <c r="B1" s="6"/>
      <c r="C1" s="6"/>
      <c r="D1" s="6"/>
      <c r="E1" s="6"/>
      <c r="F1" s="6"/>
      <c r="G1" s="6"/>
      <c r="H1" s="5"/>
      <c r="I1" s="5"/>
      <c r="J1" s="5"/>
      <c r="K1" s="5"/>
      <c r="L1" s="5"/>
      <c r="M1" s="5"/>
      <c r="N1" s="5"/>
      <c r="O1" s="5"/>
      <c r="P1" s="5"/>
      <c r="Q1" s="5"/>
    </row>
    <row r="2" spans="1:17" ht="15" thickBot="1">
      <c r="A2" s="7"/>
      <c r="B2" s="9" t="s">
        <v>0</v>
      </c>
      <c r="C2" s="10"/>
      <c r="D2" s="10"/>
      <c r="E2" s="10"/>
      <c r="F2" s="10"/>
      <c r="G2" s="10"/>
      <c r="H2" s="10"/>
      <c r="I2" s="10"/>
      <c r="J2" s="10"/>
      <c r="K2" s="10"/>
      <c r="L2" s="11"/>
      <c r="M2" s="5"/>
      <c r="N2" s="5"/>
      <c r="O2" s="5"/>
      <c r="P2" s="5"/>
      <c r="Q2" s="5"/>
    </row>
    <row r="3" spans="1:17" ht="15" thickBot="1">
      <c r="A3" s="12"/>
      <c r="B3" s="9" t="s">
        <v>1</v>
      </c>
      <c r="C3" s="10"/>
      <c r="D3" s="10"/>
      <c r="E3" s="10"/>
      <c r="F3" s="10"/>
      <c r="G3" s="10"/>
      <c r="H3" s="10"/>
      <c r="I3" s="10"/>
      <c r="J3" s="10"/>
      <c r="K3" s="10"/>
      <c r="L3" s="11"/>
      <c r="M3" s="5"/>
      <c r="N3" s="5"/>
      <c r="O3" s="5"/>
      <c r="P3" s="5"/>
      <c r="Q3" s="5"/>
    </row>
    <row r="4" spans="1:17" ht="15" thickBot="1">
      <c r="A4" s="13"/>
      <c r="B4" s="14" t="s">
        <v>2</v>
      </c>
      <c r="C4" s="15"/>
      <c r="D4" s="15"/>
      <c r="E4" s="15"/>
      <c r="F4" s="16"/>
      <c r="G4" s="17" t="s">
        <v>3</v>
      </c>
      <c r="H4" s="18"/>
      <c r="I4" s="18"/>
      <c r="J4" s="18"/>
      <c r="K4" s="18"/>
      <c r="L4" s="19"/>
      <c r="M4" s="5"/>
      <c r="N4" s="5"/>
      <c r="O4" s="5"/>
      <c r="P4" s="5"/>
      <c r="Q4" s="5"/>
    </row>
    <row r="5" spans="1:17" ht="15" thickBot="1">
      <c r="A5" s="20"/>
      <c r="B5" s="21"/>
      <c r="C5" s="22"/>
      <c r="D5" s="22"/>
      <c r="E5" s="22"/>
      <c r="F5" s="23"/>
      <c r="G5" s="24" t="s">
        <v>4</v>
      </c>
      <c r="H5" s="25"/>
      <c r="I5" s="25"/>
      <c r="J5" s="25"/>
      <c r="K5" s="25"/>
      <c r="L5" s="26"/>
      <c r="M5" s="5"/>
      <c r="N5" s="5"/>
      <c r="O5" s="5"/>
      <c r="P5" s="5"/>
      <c r="Q5" s="5"/>
    </row>
    <row r="6" spans="1:17" ht="15" thickBot="1">
      <c r="A6" s="27"/>
      <c r="B6" s="29" t="s">
        <v>5</v>
      </c>
      <c r="C6" s="30"/>
      <c r="D6" s="30"/>
      <c r="E6" s="30"/>
      <c r="F6" s="30"/>
      <c r="G6" s="30"/>
      <c r="H6" s="30"/>
      <c r="I6" s="30"/>
      <c r="J6" s="30"/>
      <c r="K6" s="30"/>
      <c r="L6" s="31"/>
      <c r="M6" s="5"/>
      <c r="N6" s="5"/>
      <c r="O6" s="5"/>
      <c r="P6" s="5"/>
      <c r="Q6" s="5"/>
    </row>
    <row r="7" spans="1:17" ht="63">
      <c r="A7" s="32"/>
      <c r="B7" s="33" t="s">
        <v>6</v>
      </c>
      <c r="C7" s="34" t="s">
        <v>7</v>
      </c>
      <c r="D7" s="35"/>
      <c r="E7" s="35"/>
      <c r="F7" s="35"/>
      <c r="G7" s="36"/>
      <c r="H7" s="34" t="s">
        <v>8</v>
      </c>
      <c r="I7" s="35"/>
      <c r="J7" s="35"/>
      <c r="K7" s="35"/>
      <c r="L7" s="36"/>
      <c r="M7" s="37" t="s">
        <v>9</v>
      </c>
      <c r="N7" s="38"/>
      <c r="O7" s="38"/>
      <c r="P7" s="38"/>
      <c r="Q7" s="39"/>
    </row>
    <row r="8" spans="1:17" ht="52.5">
      <c r="A8" s="40" t="s">
        <v>10</v>
      </c>
      <c r="B8" s="41" t="s">
        <v>11</v>
      </c>
      <c r="C8" s="42" t="s">
        <v>12</v>
      </c>
      <c r="D8" s="42" t="s">
        <v>13</v>
      </c>
      <c r="E8" s="42" t="s">
        <v>14</v>
      </c>
      <c r="F8" s="42" t="s">
        <v>15</v>
      </c>
      <c r="G8" s="43" t="s">
        <v>16</v>
      </c>
      <c r="H8" s="42" t="s">
        <v>12</v>
      </c>
      <c r="I8" s="42" t="s">
        <v>13</v>
      </c>
      <c r="J8" s="42" t="s">
        <v>14</v>
      </c>
      <c r="K8" s="42" t="s">
        <v>15</v>
      </c>
      <c r="L8" s="43" t="s">
        <v>16</v>
      </c>
      <c r="M8" s="42" t="s">
        <v>12</v>
      </c>
      <c r="N8" s="42" t="s">
        <v>13</v>
      </c>
      <c r="O8" s="42" t="s">
        <v>14</v>
      </c>
      <c r="P8" s="42" t="s">
        <v>15</v>
      </c>
      <c r="Q8" s="43" t="s">
        <v>16</v>
      </c>
    </row>
    <row r="9" spans="1:17" ht="31.5">
      <c r="A9" s="44">
        <v>1</v>
      </c>
      <c r="B9" s="45" t="s">
        <v>17</v>
      </c>
      <c r="C9" s="46"/>
      <c r="D9" s="47"/>
      <c r="E9" s="47"/>
      <c r="F9" s="48"/>
      <c r="G9" s="49"/>
      <c r="H9" s="50"/>
      <c r="I9" s="51"/>
      <c r="J9" s="51"/>
      <c r="K9" s="52"/>
      <c r="L9" s="53"/>
      <c r="M9" s="54"/>
      <c r="N9" s="55"/>
      <c r="O9" s="55"/>
      <c r="P9" s="56"/>
      <c r="Q9" s="57"/>
    </row>
    <row r="10" spans="1:17">
      <c r="A10" s="44" t="s">
        <v>18</v>
      </c>
      <c r="B10" s="45" t="s">
        <v>19</v>
      </c>
      <c r="C10" s="46">
        <v>2</v>
      </c>
      <c r="D10" s="47">
        <v>20</v>
      </c>
      <c r="E10" s="47">
        <v>1</v>
      </c>
      <c r="F10" s="48">
        <v>4000</v>
      </c>
      <c r="G10" s="49">
        <f t="shared" ref="G10:G14" si="0">PRODUCT(C10:F10)</f>
        <v>160000</v>
      </c>
      <c r="H10" s="50">
        <v>2</v>
      </c>
      <c r="I10" s="51">
        <v>20</v>
      </c>
      <c r="J10" s="51">
        <v>1</v>
      </c>
      <c r="K10" s="52">
        <v>4000</v>
      </c>
      <c r="L10" s="53">
        <f t="shared" ref="L10:L14" si="1">PRODUCT(H10:K10)</f>
        <v>160000</v>
      </c>
      <c r="M10" s="54">
        <v>2</v>
      </c>
      <c r="N10" s="55">
        <v>20</v>
      </c>
      <c r="O10" s="55">
        <v>1</v>
      </c>
      <c r="P10" s="56">
        <v>4000</v>
      </c>
      <c r="Q10" s="57">
        <f t="shared" ref="Q10:Q14" si="2">PRODUCT(M10:P10)</f>
        <v>160000</v>
      </c>
    </row>
    <row r="11" spans="1:17">
      <c r="A11" s="44" t="s">
        <v>20</v>
      </c>
      <c r="B11" s="45" t="s">
        <v>21</v>
      </c>
      <c r="C11" s="46">
        <v>2</v>
      </c>
      <c r="D11" s="47">
        <v>20</v>
      </c>
      <c r="E11" s="47">
        <v>1</v>
      </c>
      <c r="F11" s="48">
        <v>4000</v>
      </c>
      <c r="G11" s="49">
        <f t="shared" si="0"/>
        <v>160000</v>
      </c>
      <c r="H11" s="50">
        <v>2</v>
      </c>
      <c r="I11" s="51">
        <v>20</v>
      </c>
      <c r="J11" s="51">
        <v>1</v>
      </c>
      <c r="K11" s="52">
        <v>4000</v>
      </c>
      <c r="L11" s="53">
        <f t="shared" si="1"/>
        <v>160000</v>
      </c>
      <c r="M11" s="54">
        <v>2</v>
      </c>
      <c r="N11" s="55">
        <v>20</v>
      </c>
      <c r="O11" s="55">
        <v>1</v>
      </c>
      <c r="P11" s="56">
        <v>4000</v>
      </c>
      <c r="Q11" s="57">
        <f t="shared" si="2"/>
        <v>160000</v>
      </c>
    </row>
    <row r="12" spans="1:17">
      <c r="A12" s="44" t="s">
        <v>22</v>
      </c>
      <c r="B12" s="45" t="s">
        <v>23</v>
      </c>
      <c r="C12" s="46">
        <v>2</v>
      </c>
      <c r="D12" s="47">
        <v>20</v>
      </c>
      <c r="E12" s="47">
        <v>1</v>
      </c>
      <c r="F12" s="48">
        <v>4000</v>
      </c>
      <c r="G12" s="49">
        <f t="shared" si="0"/>
        <v>160000</v>
      </c>
      <c r="H12" s="50">
        <v>2</v>
      </c>
      <c r="I12" s="51">
        <v>20</v>
      </c>
      <c r="J12" s="51">
        <v>1</v>
      </c>
      <c r="K12" s="52">
        <v>4000</v>
      </c>
      <c r="L12" s="53">
        <f t="shared" si="1"/>
        <v>160000</v>
      </c>
      <c r="M12" s="54">
        <v>2</v>
      </c>
      <c r="N12" s="55">
        <v>20</v>
      </c>
      <c r="O12" s="55">
        <v>1</v>
      </c>
      <c r="P12" s="56">
        <v>4000</v>
      </c>
      <c r="Q12" s="57">
        <f t="shared" si="2"/>
        <v>160000</v>
      </c>
    </row>
    <row r="13" spans="1:17">
      <c r="A13" s="44" t="s">
        <v>24</v>
      </c>
      <c r="B13" s="45" t="s">
        <v>25</v>
      </c>
      <c r="C13" s="46">
        <v>2</v>
      </c>
      <c r="D13" s="47">
        <v>20</v>
      </c>
      <c r="E13" s="47">
        <v>1</v>
      </c>
      <c r="F13" s="48">
        <v>4000</v>
      </c>
      <c r="G13" s="49">
        <f t="shared" si="0"/>
        <v>160000</v>
      </c>
      <c r="H13" s="50">
        <v>2</v>
      </c>
      <c r="I13" s="51">
        <v>20</v>
      </c>
      <c r="J13" s="51">
        <v>1</v>
      </c>
      <c r="K13" s="52">
        <v>4000</v>
      </c>
      <c r="L13" s="53">
        <f t="shared" si="1"/>
        <v>160000</v>
      </c>
      <c r="M13" s="54">
        <v>2</v>
      </c>
      <c r="N13" s="55">
        <v>20</v>
      </c>
      <c r="O13" s="55">
        <v>1</v>
      </c>
      <c r="P13" s="56">
        <v>4000</v>
      </c>
      <c r="Q13" s="57">
        <f t="shared" si="2"/>
        <v>160000</v>
      </c>
    </row>
    <row r="14" spans="1:17">
      <c r="A14" s="44" t="s">
        <v>26</v>
      </c>
      <c r="B14" s="45" t="s">
        <v>27</v>
      </c>
      <c r="C14" s="46">
        <v>2</v>
      </c>
      <c r="D14" s="47">
        <v>20</v>
      </c>
      <c r="E14" s="47">
        <v>1</v>
      </c>
      <c r="F14" s="48">
        <v>4000</v>
      </c>
      <c r="G14" s="49">
        <f t="shared" si="0"/>
        <v>160000</v>
      </c>
      <c r="H14" s="50">
        <v>2</v>
      </c>
      <c r="I14" s="51">
        <v>20</v>
      </c>
      <c r="J14" s="51">
        <v>1</v>
      </c>
      <c r="K14" s="52">
        <v>4000</v>
      </c>
      <c r="L14" s="53">
        <f t="shared" si="1"/>
        <v>160000</v>
      </c>
      <c r="M14" s="54">
        <v>2</v>
      </c>
      <c r="N14" s="55">
        <v>20</v>
      </c>
      <c r="O14" s="55">
        <v>1</v>
      </c>
      <c r="P14" s="56">
        <v>4000</v>
      </c>
      <c r="Q14" s="57">
        <f t="shared" si="2"/>
        <v>160000</v>
      </c>
    </row>
    <row r="15" spans="1:17">
      <c r="A15" s="71"/>
      <c r="B15" s="58"/>
      <c r="C15" s="59"/>
      <c r="D15" s="60"/>
      <c r="E15" s="61"/>
      <c r="F15" s="62"/>
      <c r="G15" s="63"/>
      <c r="H15" s="59"/>
      <c r="I15" s="60"/>
      <c r="J15" s="61"/>
      <c r="K15" s="62"/>
      <c r="L15" s="63"/>
      <c r="M15" s="59"/>
      <c r="N15" s="60"/>
      <c r="O15" s="61"/>
      <c r="P15" s="62"/>
      <c r="Q15" s="63"/>
    </row>
    <row r="16" spans="1:17">
      <c r="A16" s="64"/>
      <c r="B16" s="65"/>
      <c r="C16" s="66"/>
      <c r="D16" s="67"/>
      <c r="E16" s="68"/>
      <c r="F16" s="69"/>
      <c r="G16" s="70"/>
      <c r="H16" s="66"/>
      <c r="I16" s="67"/>
      <c r="J16" s="68"/>
      <c r="K16" s="69"/>
      <c r="L16" s="70"/>
      <c r="M16" s="66"/>
      <c r="N16" s="67"/>
      <c r="O16" s="68"/>
      <c r="P16" s="69"/>
      <c r="Q16" s="70"/>
    </row>
    <row r="17" spans="1:17">
      <c r="A17" s="72" t="s">
        <v>34</v>
      </c>
      <c r="B17" s="41"/>
      <c r="C17" s="42" t="s">
        <v>12</v>
      </c>
      <c r="D17" s="42" t="s">
        <v>13</v>
      </c>
      <c r="E17" s="42" t="s">
        <v>14</v>
      </c>
      <c r="F17" s="42" t="s">
        <v>15</v>
      </c>
      <c r="G17" s="43" t="s">
        <v>16</v>
      </c>
      <c r="H17" s="42" t="s">
        <v>12</v>
      </c>
      <c r="I17" s="42" t="s">
        <v>13</v>
      </c>
      <c r="J17" s="42" t="s">
        <v>14</v>
      </c>
      <c r="K17" s="42" t="s">
        <v>15</v>
      </c>
      <c r="L17" s="43" t="s">
        <v>16</v>
      </c>
      <c r="M17" s="42" t="s">
        <v>12</v>
      </c>
      <c r="N17" s="42" t="s">
        <v>13</v>
      </c>
      <c r="O17" s="42" t="s">
        <v>14</v>
      </c>
      <c r="P17" s="42" t="s">
        <v>15</v>
      </c>
      <c r="Q17" s="43" t="s">
        <v>16</v>
      </c>
    </row>
    <row r="18" spans="1:17">
      <c r="A18" s="64"/>
      <c r="B18" s="65" t="str">
        <f>CONCATENATE("Sub Total ",B17)</f>
        <v xml:space="preserve">Sub Total </v>
      </c>
      <c r="C18" s="66"/>
      <c r="D18" s="67"/>
      <c r="E18" s="68"/>
      <c r="F18" s="69"/>
      <c r="G18" s="70"/>
      <c r="H18" s="66"/>
      <c r="I18" s="67"/>
      <c r="J18" s="68"/>
      <c r="K18" s="69"/>
      <c r="L18" s="70"/>
      <c r="M18" s="66"/>
      <c r="N18" s="67"/>
      <c r="O18" s="68"/>
      <c r="P18" s="69"/>
      <c r="Q18" s="70"/>
    </row>
    <row r="19" spans="1:17">
      <c r="A19" s="72" t="s">
        <v>35</v>
      </c>
      <c r="B19" s="41"/>
      <c r="C19" s="42"/>
      <c r="D19" s="42"/>
      <c r="E19" s="42"/>
      <c r="F19" s="42"/>
      <c r="G19" s="43"/>
      <c r="H19" s="42"/>
      <c r="I19" s="42"/>
      <c r="J19" s="42"/>
      <c r="K19" s="42"/>
      <c r="L19" s="43"/>
      <c r="M19" s="42"/>
      <c r="N19" s="42"/>
      <c r="O19" s="42"/>
      <c r="P19" s="42"/>
      <c r="Q19" s="43"/>
    </row>
    <row r="20" spans="1:17">
      <c r="A20" s="64"/>
      <c r="B20" s="65" t="str">
        <f>CONCATENATE("Sub Total ",B19)</f>
        <v xml:space="preserve">Sub Total </v>
      </c>
      <c r="C20" s="66"/>
      <c r="D20" s="67"/>
      <c r="E20" s="68"/>
      <c r="F20" s="69"/>
      <c r="G20" s="70"/>
      <c r="H20" s="66"/>
      <c r="I20" s="67"/>
      <c r="J20" s="68"/>
      <c r="K20" s="69"/>
      <c r="L20" s="70"/>
      <c r="M20" s="66"/>
      <c r="N20" s="67"/>
      <c r="O20" s="68"/>
      <c r="P20" s="69"/>
      <c r="Q20" s="70"/>
    </row>
    <row r="21" spans="1:17">
      <c r="A21" s="72" t="s">
        <v>36</v>
      </c>
      <c r="B21" s="41"/>
      <c r="C21" s="42" t="s">
        <v>12</v>
      </c>
      <c r="D21" s="42" t="s">
        <v>13</v>
      </c>
      <c r="E21" s="42" t="s">
        <v>14</v>
      </c>
      <c r="F21" s="42" t="s">
        <v>15</v>
      </c>
      <c r="G21" s="43" t="s">
        <v>37</v>
      </c>
      <c r="H21" s="42" t="s">
        <v>12</v>
      </c>
      <c r="I21" s="42" t="s">
        <v>13</v>
      </c>
      <c r="J21" s="42" t="s">
        <v>14</v>
      </c>
      <c r="K21" s="42" t="s">
        <v>15</v>
      </c>
      <c r="L21" s="43" t="s">
        <v>37</v>
      </c>
      <c r="M21" s="42" t="s">
        <v>12</v>
      </c>
      <c r="N21" s="42" t="s">
        <v>13</v>
      </c>
      <c r="O21" s="42" t="s">
        <v>14</v>
      </c>
      <c r="P21" s="42" t="s">
        <v>15</v>
      </c>
      <c r="Q21" s="43" t="s">
        <v>37</v>
      </c>
    </row>
    <row r="22" spans="1:17">
      <c r="A22" s="73"/>
      <c r="B22" s="74" t="str">
        <f>CONCATENATE("Sub Total ",B21)</f>
        <v xml:space="preserve">Sub Total </v>
      </c>
      <c r="C22" s="75"/>
      <c r="D22" s="76"/>
      <c r="E22" s="77"/>
      <c r="F22" s="78"/>
      <c r="G22" s="63"/>
      <c r="H22" s="75"/>
      <c r="I22" s="76"/>
      <c r="J22" s="77"/>
      <c r="K22" s="78"/>
      <c r="L22" s="63"/>
      <c r="M22" s="75"/>
      <c r="N22" s="76"/>
      <c r="O22" s="77"/>
      <c r="P22" s="78"/>
      <c r="Q22" s="63"/>
    </row>
    <row r="23" spans="1:17">
      <c r="A23" s="64"/>
      <c r="B23" s="65" t="str">
        <f>CONCATENATE("Sub Total ",B17)</f>
        <v xml:space="preserve">Sub Total </v>
      </c>
      <c r="C23" s="66"/>
      <c r="D23" s="67"/>
      <c r="E23" s="68"/>
      <c r="F23" s="69"/>
      <c r="G23" s="70"/>
      <c r="H23" s="66"/>
      <c r="I23" s="67"/>
      <c r="J23" s="68"/>
      <c r="K23" s="69"/>
      <c r="L23" s="70"/>
      <c r="M23" s="66"/>
      <c r="N23" s="67"/>
      <c r="O23" s="68"/>
      <c r="P23" s="69"/>
      <c r="Q23" s="70"/>
    </row>
    <row r="24" spans="1:17" ht="15" thickBot="1">
      <c r="A24" s="79"/>
      <c r="B24" s="80" t="str">
        <f>CONCATENATE("Grand Total ",A6)</f>
        <v xml:space="preserve">Grand Total </v>
      </c>
      <c r="C24" s="81"/>
      <c r="D24" s="82"/>
      <c r="E24" s="83"/>
      <c r="F24" s="84"/>
      <c r="G24" s="85" t="e">
        <f>G16+#REF!+#REF!+#REF!+#REF!+#REF!+#REF!</f>
        <v>#REF!</v>
      </c>
      <c r="H24" s="81"/>
      <c r="I24" s="82"/>
      <c r="J24" s="83"/>
      <c r="K24" s="84"/>
      <c r="L24" s="85" t="e">
        <f>L16+#REF!+#REF!+#REF!+#REF!+#REF!+#REF!</f>
        <v>#REF!</v>
      </c>
      <c r="M24" s="86"/>
      <c r="N24" s="87"/>
      <c r="O24" s="88"/>
      <c r="P24" s="89"/>
      <c r="Q24" s="90" t="e">
        <f>Q16+#REF!+#REF!+#REF!+#REF!+#REF!+#REF!</f>
        <v>#REF!</v>
      </c>
    </row>
    <row r="25" spans="1:17">
      <c r="A25" s="91"/>
      <c r="B25" s="92"/>
      <c r="C25" s="93"/>
      <c r="D25" s="93"/>
      <c r="E25" s="93"/>
      <c r="F25" s="93"/>
      <c r="G25" s="94"/>
      <c r="H25" s="95"/>
      <c r="I25" s="8"/>
      <c r="J25" s="8"/>
      <c r="K25" s="8"/>
      <c r="L25" s="96"/>
      <c r="M25" s="5"/>
      <c r="N25" s="5"/>
      <c r="O25" s="5"/>
      <c r="P25" s="5"/>
      <c r="Q25" s="5"/>
    </row>
    <row r="26" spans="1:17">
      <c r="A26" s="97"/>
      <c r="B26" s="98" t="s">
        <v>38</v>
      </c>
      <c r="C26" s="98"/>
      <c r="D26" s="98"/>
      <c r="E26" s="98"/>
      <c r="F26" s="98"/>
      <c r="G26" s="99"/>
      <c r="H26" s="100"/>
      <c r="I26" s="5"/>
      <c r="J26" s="5"/>
      <c r="K26" s="5"/>
      <c r="L26" s="101"/>
      <c r="M26" s="5"/>
      <c r="N26" s="5"/>
      <c r="O26" s="5"/>
      <c r="P26" s="5"/>
      <c r="Q26" s="5"/>
    </row>
    <row r="27" spans="1:17">
      <c r="A27" s="97"/>
      <c r="B27" s="102"/>
      <c r="C27" s="102"/>
      <c r="D27" s="102"/>
      <c r="E27" s="103"/>
      <c r="F27" s="104" t="s">
        <v>39</v>
      </c>
      <c r="G27" s="105"/>
      <c r="H27" s="100"/>
      <c r="I27" s="5"/>
      <c r="J27" s="5"/>
      <c r="K27" s="5"/>
      <c r="L27" s="101"/>
      <c r="M27" s="5"/>
      <c r="N27" s="5"/>
      <c r="O27" s="5"/>
      <c r="P27" s="5"/>
      <c r="Q27" s="5"/>
    </row>
    <row r="28" spans="1:17">
      <c r="A28" s="97"/>
      <c r="B28" s="102"/>
      <c r="C28" s="102"/>
      <c r="D28" s="102"/>
      <c r="E28" s="103"/>
      <c r="F28" s="104" t="s">
        <v>40</v>
      </c>
      <c r="G28" s="105"/>
      <c r="H28" s="100"/>
      <c r="I28" s="5"/>
      <c r="J28" s="5"/>
      <c r="K28" s="5"/>
      <c r="L28" s="101"/>
      <c r="M28" s="5"/>
      <c r="N28" s="5"/>
      <c r="O28" s="5"/>
      <c r="P28" s="5"/>
      <c r="Q28" s="5"/>
    </row>
    <row r="29" spans="1:17">
      <c r="A29" s="97"/>
      <c r="B29" s="102"/>
      <c r="C29" s="102"/>
      <c r="D29" s="102"/>
      <c r="E29" s="103"/>
      <c r="F29" s="106" t="s">
        <v>41</v>
      </c>
      <c r="G29" s="107"/>
      <c r="H29" s="100"/>
      <c r="I29" s="5"/>
      <c r="J29" s="5"/>
      <c r="K29" s="5"/>
      <c r="L29" s="101"/>
      <c r="M29" s="5"/>
      <c r="N29" s="5"/>
      <c r="O29" s="5"/>
      <c r="P29" s="5"/>
      <c r="Q29" s="5"/>
    </row>
    <row r="30" spans="1:17">
      <c r="A30" s="97"/>
      <c r="B30" s="104" t="s">
        <v>42</v>
      </c>
      <c r="C30" s="104"/>
      <c r="D30" s="104"/>
      <c r="E30" s="104"/>
      <c r="F30" s="104"/>
      <c r="G30" s="105"/>
      <c r="H30" s="100"/>
      <c r="I30" s="5"/>
      <c r="J30" s="5"/>
      <c r="K30" s="5"/>
      <c r="L30" s="101"/>
      <c r="M30" s="5"/>
      <c r="N30" s="5"/>
      <c r="O30" s="5"/>
      <c r="P30" s="5"/>
      <c r="Q30" s="5"/>
    </row>
    <row r="31" spans="1:17">
      <c r="A31" s="97"/>
      <c r="B31" s="104" t="s">
        <v>43</v>
      </c>
      <c r="C31" s="104"/>
      <c r="D31" s="104"/>
      <c r="E31" s="108"/>
      <c r="F31" s="104" t="s">
        <v>44</v>
      </c>
      <c r="G31" s="105"/>
      <c r="H31" s="100"/>
      <c r="I31" s="5"/>
      <c r="J31" s="5"/>
      <c r="K31" s="5"/>
      <c r="L31" s="101"/>
      <c r="M31" s="5"/>
      <c r="N31" s="5"/>
      <c r="O31" s="5"/>
      <c r="P31" s="5"/>
      <c r="Q31" s="5"/>
    </row>
    <row r="32" spans="1:17">
      <c r="A32" s="97"/>
      <c r="B32" s="104" t="s">
        <v>45</v>
      </c>
      <c r="C32" s="104"/>
      <c r="D32" s="104"/>
      <c r="E32" s="108"/>
      <c r="F32" s="104" t="s">
        <v>45</v>
      </c>
      <c r="G32" s="105"/>
      <c r="H32" s="100"/>
      <c r="I32" s="5"/>
      <c r="J32" s="5"/>
      <c r="K32" s="5"/>
      <c r="L32" s="101"/>
      <c r="M32" s="5"/>
      <c r="N32" s="5"/>
      <c r="O32" s="5"/>
      <c r="P32" s="5"/>
      <c r="Q32" s="5"/>
    </row>
    <row r="33" spans="1:17">
      <c r="A33" s="97"/>
      <c r="B33" s="104" t="s">
        <v>46</v>
      </c>
      <c r="C33" s="104"/>
      <c r="D33" s="104"/>
      <c r="E33" s="108"/>
      <c r="F33" s="104" t="s">
        <v>46</v>
      </c>
      <c r="G33" s="105"/>
      <c r="H33" s="100"/>
      <c r="I33" s="5"/>
      <c r="J33" s="5"/>
      <c r="K33" s="5"/>
      <c r="L33" s="101"/>
      <c r="M33" s="5"/>
      <c r="N33" s="5"/>
      <c r="O33" s="5"/>
      <c r="P33" s="5"/>
      <c r="Q33" s="5"/>
    </row>
    <row r="34" spans="1:17" ht="15" thickBot="1">
      <c r="A34" s="109"/>
      <c r="B34" s="110" t="s">
        <v>47</v>
      </c>
      <c r="C34" s="110"/>
      <c r="D34" s="110"/>
      <c r="E34" s="111"/>
      <c r="F34" s="110" t="s">
        <v>47</v>
      </c>
      <c r="G34" s="112"/>
      <c r="H34" s="113"/>
      <c r="I34" s="28"/>
      <c r="J34" s="28"/>
      <c r="K34" s="28"/>
      <c r="L34" s="114"/>
      <c r="M34" s="5"/>
      <c r="N34" s="5"/>
      <c r="O34" s="5"/>
      <c r="P34" s="5"/>
      <c r="Q34" s="5"/>
    </row>
  </sheetData>
  <mergeCells count="24">
    <mergeCell ref="B34:D34"/>
    <mergeCell ref="F34:G34"/>
    <mergeCell ref="B30:G30"/>
    <mergeCell ref="B31:D31"/>
    <mergeCell ref="F31:G31"/>
    <mergeCell ref="B32:D32"/>
    <mergeCell ref="F32:G32"/>
    <mergeCell ref="B33:D33"/>
    <mergeCell ref="F33:G33"/>
    <mergeCell ref="B6:L6"/>
    <mergeCell ref="C7:G7"/>
    <mergeCell ref="H7:L7"/>
    <mergeCell ref="M7:Q7"/>
    <mergeCell ref="B26:G26"/>
    <mergeCell ref="B27:D29"/>
    <mergeCell ref="F27:G27"/>
    <mergeCell ref="F28:G28"/>
    <mergeCell ref="F29:G29"/>
    <mergeCell ref="B1:G1"/>
    <mergeCell ref="B2:L2"/>
    <mergeCell ref="B3:L3"/>
    <mergeCell ref="B4:F5"/>
    <mergeCell ref="G4:L4"/>
    <mergeCell ref="G5:L5"/>
  </mergeCells>
  <dataValidations count="1">
    <dataValidation type="list" allowBlank="1" showInputMessage="1" showErrorMessage="1" sqref="B1:G1" xr:uid="{9D050FFB-C906-48F8-8103-43A600941E54}">
      <formula1>" ,- ,Quarter 1, Quarter 2, Quarter 3, Quarter 4, 1, 2,3,4,5,6"</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Button 1">
              <controlPr defaultSize="0" print="0" autoFill="0" autoPict="0" macro="[1]!Liquidateface">
                <anchor moveWithCells="1" sizeWithCells="1">
                  <from>
                    <xdr:col>4</xdr:col>
                    <xdr:colOff>717550</xdr:colOff>
                    <xdr:row>0</xdr:row>
                    <xdr:rowOff>101600</xdr:rowOff>
                  </from>
                  <to>
                    <xdr:col>5</xdr:col>
                    <xdr:colOff>869950</xdr:colOff>
                    <xdr:row>1</xdr:row>
                    <xdr:rowOff>533400</xdr:rowOff>
                  </to>
                </anchor>
              </controlPr>
            </control>
          </mc:Choice>
        </mc:AlternateContent>
        <mc:AlternateContent xmlns:mc="http://schemas.openxmlformats.org/markup-compatibility/2006">
          <mc:Choice Requires="x14">
            <control shapeId="1026" r:id="rId4" name="Button 2">
              <controlPr defaultSize="0" print="0" autoFill="0" autoPict="0" macro="[1]!Gotoliquidcoverletter">
                <anchor moveWithCells="1" sizeWithCells="1">
                  <from>
                    <xdr:col>2</xdr:col>
                    <xdr:colOff>133350</xdr:colOff>
                    <xdr:row>0</xdr:row>
                    <xdr:rowOff>107950</xdr:rowOff>
                  </from>
                  <to>
                    <xdr:col>3</xdr:col>
                    <xdr:colOff>82550</xdr:colOff>
                    <xdr:row>1</xdr:row>
                    <xdr:rowOff>539750</xdr:rowOff>
                  </to>
                </anchor>
              </controlPr>
            </control>
          </mc:Choice>
        </mc:AlternateContent>
        <mc:AlternateContent xmlns:mc="http://schemas.openxmlformats.org/markup-compatibility/2006">
          <mc:Choice Requires="x14">
            <control shapeId="1027" r:id="rId5" name="Button 3">
              <controlPr defaultSize="0" print="0" autoFill="0" autoPict="0" macro="[1]!GotoDatabase1">
                <anchor moveWithCells="1" sizeWithCells="1">
                  <from>
                    <xdr:col>3</xdr:col>
                    <xdr:colOff>228600</xdr:colOff>
                    <xdr:row>0</xdr:row>
                    <xdr:rowOff>82550</xdr:rowOff>
                  </from>
                  <to>
                    <xdr:col>4</xdr:col>
                    <xdr:colOff>241300</xdr:colOff>
                    <xdr:row>1</xdr:row>
                    <xdr:rowOff>596900</xdr:rowOff>
                  </to>
                </anchor>
              </controlPr>
            </control>
          </mc:Choice>
        </mc:AlternateContent>
        <mc:AlternateContent xmlns:mc="http://schemas.openxmlformats.org/markup-compatibility/2006">
          <mc:Choice Requires="x14">
            <control shapeId="1028" r:id="rId6" name="Button 4">
              <controlPr defaultSize="0" print="0" autoFill="0" autoPict="0" macro="[1]!ExtractFACE">
                <anchor moveWithCells="1" sizeWithCells="1">
                  <from>
                    <xdr:col>5</xdr:col>
                    <xdr:colOff>996950</xdr:colOff>
                    <xdr:row>0</xdr:row>
                    <xdr:rowOff>114300</xdr:rowOff>
                  </from>
                  <to>
                    <xdr:col>6</xdr:col>
                    <xdr:colOff>1250950</xdr:colOff>
                    <xdr:row>1</xdr:row>
                    <xdr:rowOff>584200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vt:lpstr>
      <vt:lpstr>b</vt:lpstr>
      <vt:lpstr>c</vt:lpstr>
      <vt:lpstr>a!Print_Area</vt:lpstr>
      <vt:lpstr>b!Print_Area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Esemi Sunday</dc:creator>
  <cp:lastModifiedBy>Esemi Sunday</cp:lastModifiedBy>
  <dcterms:created xsi:type="dcterms:W3CDTF">2026-08-28T04:04:45Z</dcterms:created>
  <dcterms:modified xsi:type="dcterms:W3CDTF">2026-08-28T04:06:54Z</dcterms:modified>
</cp:coreProperties>
</file>